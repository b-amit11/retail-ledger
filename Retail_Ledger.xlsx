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0f40e3d4ca4d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onthly" sheetId="1" r:id="R64ef01e271b74ea3"/>
    <x:sheet xmlns:r="http://schemas.openxmlformats.org/officeDocument/2006/relationships" name="Markets" sheetId="2" r:id="R6d0fc6fb22594aa0"/>
    <x:sheet xmlns:r="http://schemas.openxmlformats.org/officeDocument/2006/relationships" name="Cohorts" sheetId="3" r:id="R25b6097fca9a42d1"/>
    <x:sheet xmlns:r="http://schemas.openxmlformats.org/officeDocument/2006/relationships" name="Audit" sheetId="4" r:id="R1a55b838f21b4f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&quot;£&quot;#,##0.00;(&quot;£&quot;#,##0.00)"/>
    <x:numFmt numFmtId="201" formatCode="0.0%"/>
    <x:numFmt numFmtId="202" formatCode="#,##0"/>
    <x:numFmt numFmtId="203" formatCode="0%"/>
  </x:numFmts>
  <x:fonts count="4">
    <x:font>
      <x:sz val="11"/>
      <x:name val="Carlito"/>
    </x:font>
    <x:font>
      <x:sz val="10"/>
      <x:color rgb="FF173047"/>
      <x:name val="Arial"/>
    </x:font>
    <x:font>
      <x:b/>
      <x:sz val="15"/>
      <x:color rgb="FF173047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4D6B"/>
      </x:patternFill>
    </x:fill>
    <x:fill>
      <x:patternFill patternType="solid">
        <x:fgColor rgb="FFFFF0D4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1" fontId="1" fillId="3" borderId="0" xfId="0" applyNumberFormat="1" applyFont="1" applyFill="1" applyBorder="1"/>
    <x:xf numFmtId="202" fontId="1" fillId="3" borderId="0" xfId="0" applyNumberFormat="1" applyFont="1" applyFill="1" applyBorder="1"/>
    <x:xf numFmtId="0" fontId="0" fillId="2" borderId="0" xfId="0" applyNumberFormat="1" applyFont="1" applyFill="1" applyBorder="1"/>
    <x:xf numFmtId="203" fontId="1" fillId="0" borderId="0" xfId="0" applyNumberFormat="1" applyFont="1" applyFill="1" applyBorder="1"/>
  </x:cellXfs>
  <x:cellStyles count="1">
    <x:cellStyle name="Normal" xfId="0"/>
  </x:cellStyles>
  <x:dxfs count="1">
    <x:dxf>
      <x:font>
        <x:color rgb="FFFFFFFF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812ddbe10d44f9" /><Relationship Type="http://schemas.openxmlformats.org/officeDocument/2006/relationships/theme" Target="/xl/theme/theme1.xml" Id="R64b68f1e08f84143" /><Relationship Type="http://schemas.openxmlformats.org/officeDocument/2006/relationships/sharedStrings" Target="/xl/sharedStrings.xml" Id="R962ac35ee7f3433b" /><Relationship Type="http://schemas.openxmlformats.org/officeDocument/2006/relationships/worksheet" Target="/xl/worksheets/sheet1.xml" Id="R64ef01e271b74ea3" /><Relationship Type="http://schemas.openxmlformats.org/officeDocument/2006/relationships/worksheet" Target="/xl/worksheets/sheet2.xml" Id="R6d0fc6fb22594aa0" /><Relationship Type="http://schemas.openxmlformats.org/officeDocument/2006/relationships/worksheet" Target="/xl/worksheets/sheet3.xml" Id="R25b6097fca9a42d1" /><Relationship Type="http://schemas.openxmlformats.org/officeDocument/2006/relationships/worksheet" Target="/xl/worksheets/sheet4.xml" Id="R1a55b838f21b4fa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69ffeee472e4ff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Net transaction value — complete months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Net GBP</c:v>
          </c:tx>
          <c:spPr>
            <a:ln xmlns:a="http://schemas.openxmlformats.org/drawingml/2006/main" w="19050">
              <a:solidFill>
                <a:srgbClr val="255B81"/>
              </a:solidFill>
              <a:prstDash val="solid"/>
            </a:ln>
          </c:spPr>
          <c:marker>
            <c:symbol val="none"/>
          </c:marker>
          <c:cat>
            <c:strRef>
              <c:f>'Monthly'!$A$11:$A$22</c:f>
              <c:strCache>
                <c:ptCount val="0"/>
              </c:strCache>
            </c:strRef>
          </c:cat>
          <c:val>
            <c:numRef>
              <c:f>'Monthly'!$D$11:$D$22</c:f>
              <c:numCache>
                <c:formatCode>"£"#,##0.00;("£"#,##0.00)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&quot;£&quot;0.0,,&quot;M&quot;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4</xdr:row>
      <xdr:rowOff>0</xdr:rowOff>
    </xdr:from>
    <xdr:to>
      <xdr:col>17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9ffeee472e4ff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ountryResults" displayName="CountryResults" ref="A6:G44" headerRowCount="1" totalsRowCount="0" totalsRowShown="0">
  <x:tableColumns count="7">
    <x:tableColumn id="1" name="Country"/>
    <x:tableColumn id="2" name="Gross GBP"/>
    <x:tableColumn id="3" name="Cancelled GBP"/>
    <x:tableColumn id="4" name="Net GBP"/>
    <x:tableColumn id="5" name="Sales invoices"/>
    <x:tableColumn id="6" name="Net share"/>
    <x:tableColumn id="7" name="Cancel / gros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cf33ae92c65454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f80c7042499442a" /></Relationships>
</file>

<file path=xl/worksheets/sheet1.xml><?xml version="1.0" encoding="utf-8"?>
<x:worksheet xmlns:x="http://schemas.openxmlformats.org/spreadsheetml/2006/main">
  <x:sheetPr>
    <x:tabColor rgb="FF244D6B"/>
  </x:sheetPr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23" customHeight="1">
      <x:c r="A2" s="2" t="str">
        <x:v>Retail Ledger monthly analysis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 ht="23" customHeight="1">
      <x:c r="A3" s="1" t="str">
        <x:v>All recorded months in totals; December 2011 is partial and excluded from the trend chart.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</x:row>
    <x:row r="5" ht="32" customHeight="1">
      <x:c r="A5" s="5" t="str">
        <x:v>Metric</x:v>
      </x:c>
      <x:c r="B5" s="5" t="str">
        <x:v>GBP</x:v>
      </x:c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</x:row>
    <x:row r="6" ht="23" customHeight="1">
      <x:c r="A6" s="1" t="str">
        <x:v>Gross sales</x:v>
      </x:c>
      <x:c r="B6" s="6" t="n">
        <x:f>SUM(B11:B23)</x:f>
        <x:v>10642110.804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</x:row>
    <x:row r="7" ht="23" customHeight="1">
      <x:c r="A7" s="1" t="str">
        <x:v>Cancellation value</x:v>
      </x:c>
      <x:c r="B7" s="6" t="n">
        <x:f>SUM(C11:C23)</x:f>
        <x:v>893979.73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</x:row>
    <x:row r="8" ht="23" customHeight="1">
      <x:c r="A8" s="1" t="str">
        <x:v>Net transaction value</x:v>
      </x:c>
      <x:c r="B8" s="6" t="n">
        <x:f>SUM(D11:D23)</x:f>
        <x:v>9748131.074000001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</x:row>
    <x:row r="9" ht="23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</x:row>
    <x:row r="10" ht="32" customHeight="1">
      <x:c r="A10" s="5" t="str">
        <x:v>Month</x:v>
      </x:c>
      <x:c r="B10" s="5" t="str">
        <x:v>Gross GBP</x:v>
      </x:c>
      <x:c r="C10" s="5" t="str">
        <x:v>Cancelled GBP</x:v>
      </x:c>
      <x:c r="D10" s="5" t="str">
        <x:v>Net GBP</x:v>
      </x:c>
      <x:c r="E10" s="5" t="str">
        <x:v>Cancel / gross</x:v>
      </x:c>
      <x:c r="F10" s="5" t="str">
        <x:v>Sales invoices</x:v>
      </x:c>
      <x:c r="G10" s="5" t="str">
        <x:v>Identified buyers</x:v>
      </x:c>
      <x:c r="H10" s="5" t="str">
        <x:v>Coverage</x:v>
      </x:c>
      <x:c r="I10" s="1"/>
      <x:c r="J10" s="1"/>
      <x:c r="K10" s="1"/>
      <x:c r="L10" s="1"/>
      <x:c r="M10" s="1"/>
      <x:c r="N10" s="1"/>
      <x:c r="O10" s="1"/>
      <x:c r="P10" s="1"/>
      <x:c r="Q10" s="1"/>
    </x:row>
    <x:row r="11" ht="23" customHeight="1">
      <x:c r="A11" s="1" t="str">
        <x:v>2010-12</x:v>
      </x:c>
      <x:c r="B11" s="6" t="n">
        <x:v>821452.73</x:v>
      </x:c>
      <x:c r="C11" s="6" t="n">
        <x:v>74729.12</x:v>
      </x:c>
      <x:c r="D11" s="6" t="n">
        <x:f>B11-C11</x:f>
        <x:v>746723.61</x:v>
      </x:c>
      <x:c r="E11" s="7" t="n">
        <x:f>IF(B11=0,"n.a.",C11/B11)</x:f>
        <x:v>0.09097190534627597</x:v>
      </x:c>
      <x:c r="F11" s="8" t="n">
        <x:v>1559</x:v>
      </x:c>
      <x:c r="G11" s="8" t="n">
        <x:v>885</x:v>
      </x:c>
      <x:c r="H11" s="1" t="str">
        <x:v>Full</x:v>
      </x:c>
      <x:c r="I11" s="1"/>
      <x:c r="J11" s="1"/>
      <x:c r="K11" s="1"/>
      <x:c r="L11" s="1"/>
      <x:c r="M11" s="1"/>
      <x:c r="N11" s="1"/>
      <x:c r="O11" s="1"/>
      <x:c r="P11" s="1"/>
      <x:c r="Q11" s="1"/>
    </x:row>
    <x:row r="12" ht="23" customHeight="1">
      <x:c r="A12" s="1" t="str">
        <x:v>2011-01</x:v>
      </x:c>
      <x:c r="B12" s="6" t="n">
        <x:v>689811.61</x:v>
      </x:c>
      <x:c r="C12" s="6" t="n">
        <x:v>131363.05</x:v>
      </x:c>
      <x:c r="D12" s="6" t="n">
        <x:f>B12-C12</x:f>
        <x:v>558448.56</x:v>
      </x:c>
      <x:c r="E12" s="7" t="n">
        <x:f>IF(B12=0,"n.a.",C12/B12)</x:f>
        <x:v>0.19043322567447074</x:v>
      </x:c>
      <x:c r="F12" s="8" t="n">
        <x:v>1086</x:v>
      </x:c>
      <x:c r="G12" s="8" t="n">
        <x:v>741</x:v>
      </x:c>
      <x:c r="H12" s="1" t="str">
        <x:v>Full</x:v>
      </x:c>
      <x:c r="I12" s="1"/>
      <x:c r="J12" s="1"/>
      <x:c r="K12" s="1"/>
      <x:c r="L12" s="1"/>
      <x:c r="M12" s="1"/>
      <x:c r="N12" s="1"/>
      <x:c r="O12" s="1"/>
      <x:c r="P12" s="1"/>
      <x:c r="Q12" s="1"/>
    </x:row>
    <x:row r="13" ht="23" customHeight="1">
      <x:c r="A13" s="1" t="str">
        <x:v>2011-02</x:v>
      </x:c>
      <x:c r="B13" s="6" t="n">
        <x:v>522545.56</x:v>
      </x:c>
      <x:c r="C13" s="6" t="n">
        <x:v>25519.15</x:v>
      </x:c>
      <x:c r="D13" s="6" t="n">
        <x:f>B13-C13</x:f>
        <x:v>497026.41</x:v>
      </x:c>
      <x:c r="E13" s="7" t="n">
        <x:f>IF(B13=0,"n.a.",C13/B13)</x:f>
        <x:v>0.04883622013743644</x:v>
      </x:c>
      <x:c r="F13" s="8" t="n">
        <x:v>1100</x:v>
      </x:c>
      <x:c r="G13" s="8" t="n">
        <x:v>758</x:v>
      </x:c>
      <x:c r="H13" s="1" t="str">
        <x:v>Full</x:v>
      </x:c>
      <x:c r="I13" s="1"/>
      <x:c r="J13" s="1"/>
      <x:c r="K13" s="1"/>
      <x:c r="L13" s="1"/>
      <x:c r="M13" s="1"/>
      <x:c r="N13" s="1"/>
      <x:c r="O13" s="1"/>
      <x:c r="P13" s="1"/>
      <x:c r="Q13" s="1"/>
    </x:row>
    <x:row r="14" ht="23" customHeight="1">
      <x:c r="A14" s="1" t="str">
        <x:v>2011-03</x:v>
      </x:c>
      <x:c r="B14" s="6" t="n">
        <x:v>716215.26</x:v>
      </x:c>
      <x:c r="C14" s="6" t="n">
        <x:v>34201.28</x:v>
      </x:c>
      <x:c r="D14" s="6" t="n">
        <x:f>B14-C14</x:f>
        <x:v>682013.98</x:v>
      </x:c>
      <x:c r="E14" s="7" t="n">
        <x:f>IF(B14=0,"n.a.",C14/B14)</x:f>
        <x:v>0.04775279432052313</x:v>
      </x:c>
      <x:c r="F14" s="8" t="n">
        <x:v>1454</x:v>
      </x:c>
      <x:c r="G14" s="8" t="n">
        <x:v>974</x:v>
      </x:c>
      <x:c r="H14" s="1" t="str">
        <x:v>Full</x:v>
      </x:c>
      <x:c r="I14" s="1"/>
      <x:c r="J14" s="1"/>
      <x:c r="K14" s="1"/>
      <x:c r="L14" s="1"/>
      <x:c r="M14" s="1"/>
      <x:c r="N14" s="1"/>
      <x:c r="O14" s="1"/>
      <x:c r="P14" s="1"/>
      <x:c r="Q14" s="1"/>
    </x:row>
    <x:row r="15" ht="23" customHeight="1">
      <x:c r="A15" s="1" t="str">
        <x:v>2011-04</x:v>
      </x:c>
      <x:c r="B15" s="6" t="n">
        <x:v>536968.491</x:v>
      </x:c>
      <x:c r="C15" s="6" t="n">
        <x:v>44600.65</x:v>
      </x:c>
      <x:c r="D15" s="6" t="n">
        <x:f>B15-C15</x:f>
        <x:v>492367.841</x:v>
      </x:c>
      <x:c r="E15" s="7" t="n">
        <x:f>IF(B15=0,"n.a.",C15/B15)</x:f>
        <x:v>0.08306008778455494</x:v>
      </x:c>
      <x:c r="F15" s="8" t="n">
        <x:v>1246</x:v>
      </x:c>
      <x:c r="G15" s="8" t="n">
        <x:v>856</x:v>
      </x:c>
      <x:c r="H15" s="1" t="str">
        <x:v>Full</x:v>
      </x:c>
      <x:c r="I15" s="1"/>
      <x:c r="J15" s="1"/>
      <x:c r="K15" s="1"/>
      <x:c r="L15" s="1"/>
      <x:c r="M15" s="1"/>
      <x:c r="N15" s="1"/>
      <x:c r="O15" s="1"/>
      <x:c r="P15" s="1"/>
      <x:c r="Q15" s="1"/>
    </x:row>
    <x:row r="16" ht="23" customHeight="1">
      <x:c r="A16" s="1" t="str">
        <x:v>2011-05</x:v>
      </x:c>
      <x:c r="B16" s="6" t="n">
        <x:v>769296.61</x:v>
      </x:c>
      <x:c r="C16" s="6" t="n">
        <x:v>47202.51</x:v>
      </x:c>
      <x:c r="D16" s="6" t="n">
        <x:f>B16-C16</x:f>
        <x:v>722094.1</x:v>
      </x:c>
      <x:c r="E16" s="7" t="n">
        <x:f>IF(B16=0,"n.a.",C16/B16)</x:f>
        <x:v>0.061358011183748756</x:v>
      </x:c>
      <x:c r="F16" s="8" t="n">
        <x:v>1681</x:v>
      </x:c>
      <x:c r="G16" s="8" t="n">
        <x:v>1056</x:v>
      </x:c>
      <x:c r="H16" s="1" t="str">
        <x:v>Full</x:v>
      </x:c>
      <x:c r="I16" s="1"/>
      <x:c r="J16" s="1"/>
      <x:c r="K16" s="1"/>
      <x:c r="L16" s="1"/>
      <x:c r="M16" s="1"/>
      <x:c r="N16" s="1"/>
      <x:c r="O16" s="1"/>
      <x:c r="P16" s="1"/>
      <x:c r="Q16" s="1"/>
    </x:row>
    <x:row r="17" ht="23" customHeight="1">
      <x:c r="A17" s="1" t="str">
        <x:v>2011-06</x:v>
      </x:c>
      <x:c r="B17" s="6" t="n">
        <x:v>760547.01</x:v>
      </x:c>
      <x:c r="C17" s="6" t="n">
        <x:v>70569.78</x:v>
      </x:c>
      <x:c r="D17" s="6" t="n">
        <x:f>B17-C17</x:f>
        <x:v>689977.23</x:v>
      </x:c>
      <x:c r="E17" s="7" t="n">
        <x:f>IF(B17=0,"n.a.",C17/B17)</x:f>
        <x:v>0.09278818938490074</x:v>
      </x:c>
      <x:c r="F17" s="8" t="n">
        <x:v>1533</x:v>
      </x:c>
      <x:c r="G17" s="8" t="n">
        <x:v>991</x:v>
      </x:c>
      <x:c r="H17" s="1" t="str">
        <x:v>Full</x:v>
      </x:c>
      <x:c r="I17" s="1"/>
      <x:c r="J17" s="1"/>
      <x:c r="K17" s="1"/>
      <x:c r="L17" s="1"/>
      <x:c r="M17" s="1"/>
      <x:c r="N17" s="1"/>
      <x:c r="O17" s="1"/>
      <x:c r="P17" s="1"/>
      <x:c r="Q17" s="1"/>
    </x:row>
    <x:row r="18" ht="23" customHeight="1">
      <x:c r="A18" s="1" t="str">
        <x:v>2011-07</x:v>
      </x:c>
      <x:c r="B18" s="6" t="n">
        <x:v>718076.121</x:v>
      </x:c>
      <x:c r="C18" s="6" t="n">
        <x:v>37919.13</x:v>
      </x:c>
      <x:c r="D18" s="6" t="n">
        <x:f>B18-C18</x:f>
        <x:v>680156.991</x:v>
      </x:c>
      <x:c r="E18" s="7" t="n">
        <x:f>IF(B18=0,"n.a.",C18/B18)</x:f>
        <x:v>0.05280656032287139</x:v>
      </x:c>
      <x:c r="F18" s="8" t="n">
        <x:v>1475</x:v>
      </x:c>
      <x:c r="G18" s="8" t="n">
        <x:v>949</x:v>
      </x:c>
      <x:c r="H18" s="1" t="str">
        <x:v>Full</x:v>
      </x:c>
      <x:c r="I18" s="1"/>
      <x:c r="J18" s="1"/>
      <x:c r="K18" s="1"/>
      <x:c r="L18" s="1"/>
      <x:c r="M18" s="1"/>
      <x:c r="N18" s="1"/>
      <x:c r="O18" s="1"/>
      <x:c r="P18" s="1"/>
      <x:c r="Q18" s="1"/>
    </x:row>
    <x:row r="19" ht="23" customHeight="1">
      <x:c r="A19" s="1" t="str">
        <x:v>2011-08</x:v>
      </x:c>
      <x:c r="B19" s="6" t="n">
        <x:v>757841.38</x:v>
      </x:c>
      <x:c r="C19" s="6" t="n">
        <x:v>54330.8</x:v>
      </x:c>
      <x:c r="D19" s="6" t="n">
        <x:f>B19-C19</x:f>
        <x:v>703510.58</x:v>
      </x:c>
      <x:c r="E19" s="7" t="n">
        <x:f>IF(B19=0,"n.a.",C19/B19)</x:f>
        <x:v>0.07169151940475987</x:v>
      </x:c>
      <x:c r="F19" s="8" t="n">
        <x:v>1361</x:v>
      </x:c>
      <x:c r="G19" s="8" t="n">
        <x:v>935</x:v>
      </x:c>
      <x:c r="H19" s="1" t="str">
        <x:v>Full</x:v>
      </x:c>
      <x:c r="I19" s="1"/>
      <x:c r="J19" s="1"/>
      <x:c r="K19" s="1"/>
      <x:c r="L19" s="1"/>
      <x:c r="M19" s="1"/>
      <x:c r="N19" s="1"/>
      <x:c r="O19" s="1"/>
      <x:c r="P19" s="1"/>
      <x:c r="Q19" s="1"/>
    </x:row>
    <x:row r="20" ht="23" customHeight="1">
      <x:c r="A20" s="1" t="str">
        <x:v>2011-09</x:v>
      </x:c>
      <x:c r="B20" s="6" t="n">
        <x:v>1056435.192</x:v>
      </x:c>
      <x:c r="C20" s="6" t="n">
        <x:v>38838.51</x:v>
      </x:c>
      <x:c r="D20" s="6" t="n">
        <x:f>B20-C20</x:f>
        <x:v>1017596.682</x:v>
      </x:c>
      <x:c r="E20" s="7" t="n">
        <x:f>IF(B20=0,"n.a.",C20/B20)</x:f>
        <x:v>0.03676374120637965</x:v>
      </x:c>
      <x:c r="F20" s="8" t="n">
        <x:v>1837</x:v>
      </x:c>
      <x:c r="G20" s="8" t="n">
        <x:v>1266</x:v>
      </x:c>
      <x:c r="H20" s="1" t="str">
        <x:v>Full</x:v>
      </x:c>
      <x:c r="I20" s="1"/>
      <x:c r="J20" s="1"/>
      <x:c r="K20" s="1"/>
      <x:c r="L20" s="1"/>
      <x:c r="M20" s="1"/>
      <x:c r="N20" s="1"/>
      <x:c r="O20" s="1"/>
      <x:c r="P20" s="1"/>
      <x:c r="Q20" s="1"/>
    </x:row>
    <x:row r="21" ht="23" customHeight="1">
      <x:c r="A21" s="1" t="str">
        <x:v>2011-10</x:v>
      </x:c>
      <x:c r="B21" s="6" t="n">
        <x:v>1151263.73</x:v>
      </x:c>
      <x:c r="C21" s="6" t="n">
        <x:v>81895.5</x:v>
      </x:c>
      <x:c r="D21" s="6" t="n">
        <x:f>B21-C21</x:f>
        <x:v>1069368.23</x:v>
      </x:c>
      <x:c r="E21" s="7" t="n">
        <x:f>IF(B21=0,"n.a.",C21/B21)</x:f>
        <x:v>0.07113530798021406</x:v>
      </x:c>
      <x:c r="F21" s="8" t="n">
        <x:v>2040</x:v>
      </x:c>
      <x:c r="G21" s="8" t="n">
        <x:v>1364</x:v>
      </x:c>
      <x:c r="H21" s="1" t="str">
        <x:v>Full</x:v>
      </x:c>
      <x:c r="I21" s="1"/>
      <x:c r="J21" s="1"/>
      <x:c r="K21" s="1"/>
      <x:c r="L21" s="1"/>
      <x:c r="M21" s="1"/>
      <x:c r="N21" s="1"/>
      <x:c r="O21" s="1"/>
      <x:c r="P21" s="1"/>
      <x:c r="Q21" s="1"/>
    </x:row>
    <x:row r="22" ht="23" customHeight="1">
      <x:c r="A22" s="1" t="str">
        <x:v>2011-11</x:v>
      </x:c>
      <x:c r="B22" s="6" t="n">
        <x:v>1503866.78</x:v>
      </x:c>
      <x:c r="C22" s="6" t="n">
        <x:v>47720.98</x:v>
      </x:c>
      <x:c r="D22" s="6" t="n">
        <x:f>B22-C22</x:f>
        <x:v>1456145.8</x:v>
      </x:c>
      <x:c r="E22" s="7" t="n">
        <x:f>IF(B22=0,"n.a.",C22/B22)</x:f>
        <x:v>0.03173218574586773</x:v>
      </x:c>
      <x:c r="F22" s="8" t="n">
        <x:v>2769</x:v>
      </x:c>
      <x:c r="G22" s="8" t="n">
        <x:v>1664</x:v>
      </x:c>
      <x:c r="H22" s="1" t="str">
        <x:v>Full</x:v>
      </x:c>
      <x:c r="I22" s="1"/>
      <x:c r="J22" s="1"/>
      <x:c r="K22" s="1"/>
      <x:c r="L22" s="1"/>
      <x:c r="M22" s="1"/>
      <x:c r="N22" s="1"/>
      <x:c r="O22" s="1"/>
      <x:c r="P22" s="1"/>
      <x:c r="Q22" s="1"/>
    </x:row>
    <x:row r="23" ht="23" customHeight="1">
      <x:c r="A23" s="9" t="str">
        <x:v>2011-12</x:v>
      </x:c>
      <x:c r="B23" s="10" t="n">
        <x:v>637790.33</x:v>
      </x:c>
      <x:c r="C23" s="10" t="n">
        <x:v>205089.27</x:v>
      </x:c>
      <x:c r="D23" s="10" t="n">
        <x:f>B23-C23</x:f>
        <x:v>432701.05999999994</x:v>
      </x:c>
      <x:c r="E23" s="11" t="n">
        <x:f>IF(B23=0,"n.a.",C23/B23)</x:f>
        <x:v>0.32156221308654837</x:v>
      </x:c>
      <x:c r="F23" s="12" t="n">
        <x:v>819</x:v>
      </x:c>
      <x:c r="G23" s="12" t="n">
        <x:v>615</x:v>
      </x:c>
      <x:c r="H23" s="9" t="str">
        <x:v>Through Dec 9</x:v>
      </x:c>
      <x:c r="I23" s="1"/>
      <x:c r="J23" s="1"/>
      <x:c r="K23" s="1"/>
      <x:c r="L23" s="1"/>
      <x:c r="M23" s="1"/>
      <x:c r="N23" s="1"/>
      <x:c r="O23" s="1"/>
      <x:c r="P23" s="1"/>
      <x:c r="Q23" s="1"/>
    </x:row>
    <x:row r="24" ht="23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</x:row>
    <x:row r="25" ht="23" customHeight="1">
      <x:c r="A25" s="1" t="str">
        <x:v>Cancellation value is a value ratio, not a product-return rate. Records are not matched to original sales.</x:v>
      </x:c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</x:row>
    <x:row r="27" ht="23" customHeight="1">
      <x:c r="A27" s="1" t="str">
        <x:v>Transaction value is not profit or settled cash; the source does not contain those measures.</x:v>
      </x:c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</x:row>
  </x:sheetData>
  <x:pageMargins left="0.7" right="0.7" top="0.75" bottom="0.75" header="0.3" footer="0.3"/>
  <x:drawing xmlns:r="http://schemas.openxmlformats.org/officeDocument/2006/relationships" r:id="R6cf33ae92c654542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 ht="23" customHeight="1">
      <x:c r="A2" s="2" t="str">
        <x:v>Markets and cancellation value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 ht="23" customHeight="1">
      <x:c r="A3" s="1" t="str">
        <x:v>Full source period, including partial December 2011; sorted by net transaction value.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 ht="23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</x:row>
    <x:row r="6" ht="32" customHeight="1">
      <x:c r="A6" s="5" t="str">
        <x:v>Country</x:v>
      </x:c>
      <x:c r="B6" s="5" t="str">
        <x:v>Gross GBP</x:v>
      </x:c>
      <x:c r="C6" s="5" t="str">
        <x:v>Cancelled GBP</x:v>
      </x:c>
      <x:c r="D6" s="5" t="str">
        <x:v>Net GBP</x:v>
      </x:c>
      <x:c r="E6" s="5" t="str">
        <x:v>Sales invoices</x:v>
      </x:c>
      <x:c r="F6" s="5" t="str">
        <x:v>Net share</x:v>
      </x:c>
      <x:c r="G6" s="5" t="str">
        <x:v>Cancel / gross</x:v>
      </x:c>
      <x:c r="H6" s="1"/>
      <x:c r="I6" s="1"/>
      <x:c r="J6" s="1"/>
      <x:c r="K6" s="1"/>
      <x:c r="L6" s="1"/>
      <x:c r="M6" s="1"/>
    </x:row>
    <x:row r="7" ht="23" customHeight="1">
      <x:c r="A7" s="1" t="str">
        <x:v>United Kingdom</x:v>
      </x:c>
      <x:c r="B7" s="6" t="n">
        <x:v>9001744.094</x:v>
      </x:c>
      <x:c r="C7" s="6" t="n">
        <x:v>812491.79</x:v>
      </x:c>
      <x:c r="D7" s="6" t="n">
        <x:f>B7-C7</x:f>
        <x:v>8189252.3040000005</x:v>
      </x:c>
      <x:c r="E7" s="1" t="n">
        <x:v>18019</x:v>
      </x:c>
      <x:c r="F7" s="7" t="n">
        <x:f>D7/SUM($D$7:$D$44)</x:f>
        <x:v>0.8400843445614089</x:v>
      </x:c>
      <x:c r="G7" s="7" t="n">
        <x:f>IF(B7=0,"n.a.",C7/B7)</x:f>
        <x:v>0.09025937435186102</x:v>
      </x:c>
      <x:c r="H7" s="1"/>
      <x:c r="I7" s="1"/>
      <x:c r="J7" s="1"/>
      <x:c r="K7" s="1"/>
      <x:c r="L7" s="1"/>
      <x:c r="M7" s="1"/>
    </x:row>
    <x:row r="8" ht="23" customHeight="1">
      <x:c r="A8" s="1" t="str">
        <x:v>Netherlands</x:v>
      </x:c>
      <x:c r="B8" s="6" t="n">
        <x:v>285446.34</x:v>
      </x:c>
      <x:c r="C8" s="6" t="n">
        <x:v>784.8</x:v>
      </x:c>
      <x:c r="D8" s="6" t="n">
        <x:f>B8-C8</x:f>
        <x:v>284661.54000000004</x:v>
      </x:c>
      <x:c r="E8" s="1" t="n">
        <x:v>94</x:v>
      </x:c>
      <x:c r="F8" s="7" t="n">
        <x:f>D8/SUM($D$7:$D$44)</x:f>
        <x:v>0.02920165289521422</x:v>
      </x:c>
      <x:c r="G8" s="7" t="n">
        <x:f>IF(B8=0,"n.a.",C8/B8)</x:f>
        <x:v>0.0027493783945521945</x:v>
      </x:c>
      <x:c r="H8" s="1"/>
      <x:c r="I8" s="1"/>
      <x:c r="J8" s="1"/>
      <x:c r="K8" s="1"/>
      <x:c r="L8" s="1"/>
      <x:c r="M8" s="1"/>
    </x:row>
    <x:row r="9" ht="23" customHeight="1">
      <x:c r="A9" s="1" t="str">
        <x:v>EIRE</x:v>
      </x:c>
      <x:c r="B9" s="6" t="n">
        <x:v>283140.52</x:v>
      </x:c>
      <x:c r="C9" s="6" t="n">
        <x:v>20147.14</x:v>
      </x:c>
      <x:c r="D9" s="6" t="n">
        <x:f>B9-C9</x:f>
        <x:v>262993.38</x:v>
      </x:c>
      <x:c r="E9" s="1" t="n">
        <x:v>288</x:v>
      </x:c>
      <x:c r="F9" s="7" t="n">
        <x:f>D9/SUM($D$7:$D$44)</x:f>
        <x:v>0.026978851433527594</x:v>
      </x:c>
      <x:c r="G9" s="7" t="n">
        <x:f>IF(B9=0,"n.a.",C9/B9)</x:f>
        <x:v>0.07115597583842821</x:v>
      </x:c>
      <x:c r="H9" s="1"/>
      <x:c r="I9" s="1"/>
      <x:c r="J9" s="1"/>
      <x:c r="K9" s="1"/>
      <x:c r="L9" s="1"/>
      <x:c r="M9" s="1"/>
    </x:row>
    <x:row r="10" ht="23" customHeight="1">
      <x:c r="A10" s="1" t="str">
        <x:v>Germany</x:v>
      </x:c>
      <x:c r="B10" s="6" t="n">
        <x:v>228678.4</x:v>
      </x:c>
      <x:c r="C10" s="6" t="n">
        <x:v>7168.93</x:v>
      </x:c>
      <x:c r="D10" s="6" t="n">
        <x:f>B10-C10</x:f>
        <x:v>221509.47</x:v>
      </x:c>
      <x:c r="E10" s="1" t="n">
        <x:v>457</x:v>
      </x:c>
      <x:c r="F10" s="7" t="n">
        <x:f>D10/SUM($D$7:$D$44)</x:f>
        <x:v>0.022723275704694307</x:v>
      </x:c>
      <x:c r="G10" s="7" t="n">
        <x:f>IF(B10=0,"n.a.",C10/B10)</x:f>
        <x:v>0.03134939723209538</x:v>
      </x:c>
      <x:c r="H10" s="1"/>
      <x:c r="I10" s="1"/>
      <x:c r="J10" s="1"/>
      <x:c r="K10" s="1"/>
      <x:c r="L10" s="1"/>
      <x:c r="M10" s="1"/>
    </x:row>
    <x:row r="11" ht="23" customHeight="1">
      <x:c r="A11" s="1" t="str">
        <x:v>France</x:v>
      </x:c>
      <x:c r="B11" s="6" t="n">
        <x:v>209625.37</x:v>
      </x:c>
      <x:c r="C11" s="6" t="n">
        <x:v>12308.26</x:v>
      </x:c>
      <x:c r="D11" s="6" t="n">
        <x:f>B11-C11</x:f>
        <x:v>197317.11</x:v>
      </x:c>
      <x:c r="E11" s="1" t="n">
        <x:v>392</x:v>
      </x:c>
      <x:c r="F11" s="7" t="n">
        <x:f>D11/SUM($D$7:$D$44)</x:f>
        <x:v>0.020241532300102085</x:v>
      </x:c>
      <x:c r="G11" s="7" t="n">
        <x:f>IF(B11=0,"n.a.",C11/B11)</x:f>
        <x:v>0.0587155075742979</x:v>
      </x:c>
      <x:c r="H11" s="1"/>
      <x:c r="I11" s="1"/>
      <x:c r="J11" s="1"/>
      <x:c r="K11" s="1"/>
      <x:c r="L11" s="1"/>
      <x:c r="M11" s="1"/>
    </x:row>
    <x:row r="12" ht="23" customHeight="1">
      <x:c r="A12" s="1" t="str">
        <x:v>Australia</x:v>
      </x:c>
      <x:c r="B12" s="6" t="n">
        <x:v>138453.81</x:v>
      </x:c>
      <x:c r="C12" s="6" t="n">
        <x:v>1444.04</x:v>
      </x:c>
      <x:c r="D12" s="6" t="n">
        <x:f>B12-C12</x:f>
        <x:v>137009.77</x:v>
      </x:c>
      <x:c r="E12" s="1" t="n">
        <x:v>57</x:v>
      </x:c>
      <x:c r="F12" s="7" t="n">
        <x:f>D12/SUM($D$7:$D$44)</x:f>
        <x:v>0.014054978227101327</x:v>
      </x:c>
      <x:c r="G12" s="7" t="n">
        <x:f>IF(B12=0,"n.a.",C12/B12)</x:f>
        <x:v>0.010429759932211327</x:v>
      </x:c>
      <x:c r="H12" s="1"/>
      <x:c r="I12" s="1"/>
      <x:c r="J12" s="1"/>
      <x:c r="K12" s="1"/>
      <x:c r="L12" s="1"/>
      <x:c r="M12" s="1"/>
    </x:row>
    <x:row r="13" ht="23" customHeight="1">
      <x:c r="A13" s="1" t="str">
        <x:v>Switzerland</x:v>
      </x:c>
      <x:c r="B13" s="6" t="n">
        <x:v>57067.6</x:v>
      </x:c>
      <x:c r="C13" s="6" t="n">
        <x:v>704.55</x:v>
      </x:c>
      <x:c r="D13" s="6" t="n">
        <x:f>B13-C13</x:f>
        <x:v>56363.049999999996</x:v>
      </x:c>
      <x:c r="E13" s="1" t="n">
        <x:v>54</x:v>
      </x:c>
      <x:c r="F13" s="7" t="n">
        <x:f>D13/SUM($D$7:$D$44)</x:f>
        <x:v>0.005781933949403925</x:v>
      </x:c>
      <x:c r="G13" s="7" t="n">
        <x:f>IF(B13=0,"n.a.",C13/B13)</x:f>
        <x:v>0.012345884529925912</x:v>
      </x:c>
      <x:c r="H13" s="1"/>
      <x:c r="I13" s="1"/>
      <x:c r="J13" s="1"/>
      <x:c r="K13" s="1"/>
      <x:c r="L13" s="1"/>
      <x:c r="M13" s="1"/>
    </x:row>
    <x:row r="14" ht="23" customHeight="1">
      <x:c r="A14" s="1" t="str">
        <x:v>Spain</x:v>
      </x:c>
      <x:c r="B14" s="6" t="n">
        <x:v>61558.56</x:v>
      </x:c>
      <x:c r="C14" s="6" t="n">
        <x:v>6802.53</x:v>
      </x:c>
      <x:c r="D14" s="6" t="n">
        <x:f>B14-C14</x:f>
        <x:v>54756.03</x:v>
      </x:c>
      <x:c r="E14" s="1" t="n">
        <x:v>90</x:v>
      </x:c>
      <x:c r="F14" s="7" t="n">
        <x:f>D14/SUM($D$7:$D$44)</x:f>
        <x:v>0.005617079785277409</x:v>
      </x:c>
      <x:c r="G14" s="7" t="n">
        <x:f>IF(B14=0,"n.a.",C14/B14)</x:f>
        <x:v>0.11050502155995852</x:v>
      </x:c>
      <x:c r="H14" s="1"/>
      <x:c r="I14" s="1"/>
      <x:c r="J14" s="1"/>
      <x:c r="K14" s="1"/>
      <x:c r="L14" s="1"/>
      <x:c r="M14" s="1"/>
    </x:row>
    <x:row r="15" ht="23" customHeight="1">
      <x:c r="A15" s="1" t="str">
        <x:v>Belgium</x:v>
      </x:c>
      <x:c r="B15" s="6" t="n">
        <x:v>41196.34</x:v>
      </x:c>
      <x:c r="C15" s="6" t="n">
        <x:v>285.38</x:v>
      </x:c>
      <x:c r="D15" s="6" t="n">
        <x:f>B15-C15</x:f>
        <x:v>40910.96</x:v>
      </x:c>
      <x:c r="E15" s="1" t="n">
        <x:v>98</x:v>
      </x:c>
      <x:c r="F15" s="7" t="n">
        <x:f>D15/SUM($D$7:$D$44)</x:f>
        <x:v>0.004196800359929174</x:v>
      </x:c>
      <x:c r="G15" s="7" t="n">
        <x:f>IF(B15=0,"n.a.",C15/B15)</x:f>
        <x:v>0.00692731441676615</x:v>
      </x:c>
      <x:c r="H15" s="1"/>
      <x:c r="I15" s="1"/>
      <x:c r="J15" s="1"/>
      <x:c r="K15" s="1"/>
      <x:c r="L15" s="1"/>
      <x:c r="M15" s="1"/>
    </x:row>
    <x:row r="16" ht="23" customHeight="1">
      <x:c r="A16" s="1" t="str">
        <x:v>Sweden</x:v>
      </x:c>
      <x:c r="B16" s="6" t="n">
        <x:v>38367.83</x:v>
      </x:c>
      <x:c r="C16" s="6" t="n">
        <x:v>1782.42</x:v>
      </x:c>
      <x:c r="D16" s="6" t="n">
        <x:f>B16-C16</x:f>
        <x:v>36585.41</x:v>
      </x:c>
      <x:c r="E16" s="1" t="n">
        <x:v>36</x:v>
      </x:c>
      <x:c r="F16" s="7" t="n">
        <x:f>D16/SUM($D$7:$D$44)</x:f>
        <x:v>0.003753069149591122</x:v>
      </x:c>
      <x:c r="G16" s="7" t="n">
        <x:f>IF(B16=0,"n.a.",C16/B16)</x:f>
        <x:v>0.046456106587211214</x:v>
      </x:c>
      <x:c r="H16" s="1"/>
      <x:c r="I16" s="1"/>
      <x:c r="J16" s="1"/>
      <x:c r="K16" s="1"/>
      <x:c r="L16" s="1"/>
      <x:c r="M16" s="1"/>
    </x:row>
    <x:row r="17" ht="23" customHeight="1">
      <x:c r="A17" s="1" t="str">
        <x:v>Japan</x:v>
      </x:c>
      <x:c r="B17" s="6" t="n">
        <x:v>37416.37</x:v>
      </x:c>
      <x:c r="C17" s="6" t="n">
        <x:v>2075.75</x:v>
      </x:c>
      <x:c r="D17" s="6" t="n">
        <x:f>B17-C17</x:f>
        <x:v>35340.62</x:v>
      </x:c>
      <x:c r="E17" s="1" t="n">
        <x:v>19</x:v>
      </x:c>
      <x:c r="F17" s="7" t="n">
        <x:f>D17/SUM($D$7:$D$44)</x:f>
        <x:v>0.003625373903133052</x:v>
      </x:c>
      <x:c r="G17" s="7" t="n">
        <x:f>IF(B17=0,"n.a.",C17/B17)</x:f>
        <x:v>0.05547705456194708</x:v>
      </x:c>
      <x:c r="H17" s="1"/>
      <x:c r="I17" s="1"/>
      <x:c r="J17" s="1"/>
      <x:c r="K17" s="1"/>
      <x:c r="L17" s="1"/>
      <x:c r="M17" s="1"/>
    </x:row>
    <x:row r="18" ht="23" customHeight="1">
      <x:c r="A18" s="1" t="str">
        <x:v>Norway</x:v>
      </x:c>
      <x:c r="B18" s="6" t="n">
        <x:v>36165.44</x:v>
      </x:c>
      <x:c r="C18" s="6" t="n">
        <x:v>1001.98</x:v>
      </x:c>
      <x:c r="D18" s="6" t="n">
        <x:f>B18-C18</x:f>
        <x:v>35163.46</x:v>
      </x:c>
      <x:c r="E18" s="1" t="n">
        <x:v>36</x:v>
      </x:c>
      <x:c r="F18" s="7" t="n">
        <x:f>D18/SUM($D$7:$D$44)</x:f>
        <x:v>0.0036072001630945622</x:v>
      </x:c>
      <x:c r="G18" s="7" t="n">
        <x:f>IF(B18=0,"n.a.",C18/B18)</x:f>
        <x:v>0.027705455816381605</x:v>
      </x:c>
      <x:c r="H18" s="1"/>
      <x:c r="I18" s="1"/>
      <x:c r="J18" s="1"/>
      <x:c r="K18" s="1"/>
      <x:c r="L18" s="1"/>
      <x:c r="M18" s="1"/>
    </x:row>
    <x:row r="19" ht="23" customHeight="1">
      <x:c r="A19" s="1" t="str">
        <x:v>Portugal</x:v>
      </x:c>
      <x:c r="B19" s="6" t="n">
        <x:v>33683.05</x:v>
      </x:c>
      <x:c r="C19" s="6" t="n">
        <x:v>4380.08</x:v>
      </x:c>
      <x:c r="D19" s="6" t="n">
        <x:f>B19-C19</x:f>
        <x:v>29302.97</x:v>
      </x:c>
      <x:c r="E19" s="1" t="n">
        <x:v>58</x:v>
      </x:c>
      <x:c r="F19" s="7" t="n">
        <x:f>D19/SUM($D$7:$D$44)</x:f>
        <x:v>0.003006009026505215</x:v>
      </x:c>
      <x:c r="G19" s="7" t="n">
        <x:f>IF(B19=0,"n.a.",C19/B19)</x:f>
        <x:v>0.13003810521909387</x:v>
      </x:c>
      <x:c r="H19" s="1"/>
      <x:c r="I19" s="1"/>
      <x:c r="J19" s="1"/>
      <x:c r="K19" s="1"/>
      <x:c r="L19" s="1"/>
      <x:c r="M19" s="1"/>
    </x:row>
    <x:row r="20" ht="23" customHeight="1">
      <x:c r="A20" s="1" t="str">
        <x:v>Finland</x:v>
      </x:c>
      <x:c r="B20" s="6" t="n">
        <x:v>22546.08</x:v>
      </x:c>
      <x:c r="C20" s="6" t="n">
        <x:v>219.34</x:v>
      </x:c>
      <x:c r="D20" s="6" t="n">
        <x:f>B20-C20</x:f>
        <x:v>22326.74</x:v>
      </x:c>
      <x:c r="E20" s="1" t="n">
        <x:v>41</x:v>
      </x:c>
      <x:c r="F20" s="7" t="n">
        <x:f>D20/SUM($D$7:$D$44)</x:f>
        <x:v>0.002290361078499382</x:v>
      </x:c>
      <x:c r="G20" s="7" t="n">
        <x:f>IF(B20=0,"n.a.",C20/B20)</x:f>
        <x:v>0.009728520434594394</x:v>
      </x:c>
      <x:c r="H20" s="1"/>
      <x:c r="I20" s="1"/>
      <x:c r="J20" s="1"/>
      <x:c r="K20" s="1"/>
      <x:c r="L20" s="1"/>
      <x:c r="M20" s="1"/>
    </x:row>
    <x:row r="21" ht="23" customHeight="1">
      <x:c r="A21" s="1" t="str">
        <x:v>Channel Islands</x:v>
      </x:c>
      <x:c r="B21" s="6" t="n">
        <x:v>20440.54</x:v>
      </x:c>
      <x:c r="C21" s="6" t="n">
        <x:v>364.15</x:v>
      </x:c>
      <x:c r="D21" s="6" t="n">
        <x:f>B21-C21</x:f>
        <x:v>20076.39</x:v>
      </x:c>
      <x:c r="E21" s="1" t="n">
        <x:v>26</x:v>
      </x:c>
      <x:c r="F21" s="7" t="n">
        <x:f>D21/SUM($D$7:$D$44)</x:f>
        <x:v>0.002059511699996247</x:v>
      </x:c>
      <x:c r="G21" s="7" t="n">
        <x:f>IF(B21=0,"n.a.",C21/B21)</x:f>
        <x:v>0.01781508707695589</x:v>
      </x:c>
      <x:c r="H21" s="1"/>
      <x:c r="I21" s="1"/>
      <x:c r="J21" s="1"/>
      <x:c r="K21" s="1"/>
      <x:c r="L21" s="1"/>
      <x:c r="M21" s="1"/>
    </x:row>
    <x:row r="22" ht="23" customHeight="1">
      <x:c r="A22" s="1" t="str">
        <x:v>Denmark</x:v>
      </x:c>
      <x:c r="B22" s="6" t="n">
        <x:v>18955.34</x:v>
      </x:c>
      <x:c r="C22" s="6" t="n">
        <x:v>187.2</x:v>
      </x:c>
      <x:c r="D22" s="6" t="n">
        <x:f>B22-C22</x:f>
        <x:v>18768.14</x:v>
      </x:c>
      <x:c r="E22" s="1" t="n">
        <x:v>18</x:v>
      </x:c>
      <x:c r="F22" s="7" t="n">
        <x:f>D22/SUM($D$7:$D$44)</x:f>
        <x:v>0.0019253064877284992</x:v>
      </x:c>
      <x:c r="G22" s="7" t="n">
        <x:f>IF(B22=0,"n.a.",C22/B22)</x:f>
        <x:v>0.009875845012540001</x:v>
      </x:c>
      <x:c r="H22" s="1"/>
      <x:c r="I22" s="1"/>
      <x:c r="J22" s="1"/>
      <x:c r="K22" s="1"/>
      <x:c r="L22" s="1"/>
      <x:c r="M22" s="1"/>
    </x:row>
    <x:row r="23" ht="23" customHeight="1">
      <x:c r="A23" s="1" t="str">
        <x:v>Italy</x:v>
      </x:c>
      <x:c r="B23" s="6" t="n">
        <x:v>17483.24</x:v>
      </x:c>
      <x:c r="C23" s="6" t="n">
        <x:v>592.73</x:v>
      </x:c>
      <x:c r="D23" s="6" t="n">
        <x:f>B23-C23</x:f>
        <x:v>16890.510000000002</x:v>
      </x:c>
      <x:c r="E23" s="1" t="n">
        <x:v>38</x:v>
      </x:c>
      <x:c r="F23" s="7" t="n">
        <x:f>D23/SUM($D$7:$D$44)</x:f>
        <x:v>0.0017326921306023452</x:v>
      </x:c>
      <x:c r="G23" s="7" t="n">
        <x:f>IF(B23=0,"n.a.",C23/B23)</x:f>
        <x:v>0.033902754866946855</x:v>
      </x:c>
      <x:c r="H23" s="1"/>
      <x:c r="I23" s="1"/>
      <x:c r="J23" s="1"/>
      <x:c r="K23" s="1"/>
      <x:c r="L23" s="1"/>
      <x:c r="M23" s="1"/>
    </x:row>
    <x:row r="24" ht="23" customHeight="1">
      <x:c r="A24" s="1" t="str">
        <x:v>Cyprus</x:v>
      </x:c>
      <x:c r="B24" s="6" t="n">
        <x:v>13502.85</x:v>
      </x:c>
      <x:c r="C24" s="6" t="n">
        <x:v>644.09</x:v>
      </x:c>
      <x:c r="D24" s="6" t="n">
        <x:f>B24-C24</x:f>
        <x:v>12858.76</x:v>
      </x:c>
      <x:c r="E24" s="1" t="n">
        <x:v>16</x:v>
      </x:c>
      <x:c r="F24" s="7" t="n">
        <x:f>D24/SUM($D$7:$D$44)</x:f>
        <x:v>0.0013191000308045292</x:v>
      </x:c>
      <x:c r="G24" s="7" t="n">
        <x:f>IF(B24=0,"n.a.",C24/B24)</x:f>
        <x:v>0.04770030030697223</x:v>
      </x:c>
      <x:c r="H24" s="1"/>
      <x:c r="I24" s="1"/>
      <x:c r="J24" s="1"/>
      <x:c r="K24" s="1"/>
      <x:c r="L24" s="1"/>
      <x:c r="M24" s="1"/>
    </x:row>
    <x:row r="25" ht="23" customHeight="1">
      <x:c r="A25" s="1" t="str">
        <x:v>Austria</x:v>
      </x:c>
      <x:c r="B25" s="6" t="n">
        <x:v>10198.68</x:v>
      </x:c>
      <x:c r="C25" s="6" t="n">
        <x:v>44.36</x:v>
      </x:c>
      <x:c r="D25" s="6" t="n">
        <x:f>B25-C25</x:f>
        <x:v>10154.32</x:v>
      </x:c>
      <x:c r="E25" s="1" t="n">
        <x:v>17</x:v>
      </x:c>
      <x:c r="F25" s="7" t="n">
        <x:f>D25/SUM($D$7:$D$44)</x:f>
        <x:v>0.0010416683898602235</x:v>
      </x:c>
      <x:c r="G25" s="7" t="n">
        <x:f>IF(B25=0,"n.a.",C25/B25)</x:f>
        <x:v>0.004349582494989548</x:v>
      </x:c>
      <x:c r="H25" s="1"/>
      <x:c r="I25" s="1"/>
      <x:c r="J25" s="1"/>
      <x:c r="K25" s="1"/>
      <x:c r="L25" s="1"/>
      <x:c r="M25" s="1"/>
    </x:row>
    <x:row r="26" ht="23" customHeight="1">
      <x:c r="A26" s="1" t="str">
        <x:v>Hong Kong</x:v>
      </x:c>
      <x:c r="B26" s="6" t="n">
        <x:v>15483</x:v>
      </x:c>
      <x:c r="C26" s="6" t="n">
        <x:v>5574.76</x:v>
      </x:c>
      <x:c r="D26" s="6" t="n">
        <x:f>B26-C26</x:f>
        <x:v>9908.24</x:v>
      </x:c>
      <x:c r="E26" s="1" t="n">
        <x:v>11</x:v>
      </x:c>
      <x:c r="F26" s="7" t="n">
        <x:f>D26/SUM($D$7:$D$44)</x:f>
        <x:v>0.0010164245766480335</x:v>
      </x:c>
      <x:c r="G26" s="7" t="n">
        <x:f>IF(B26=0,"n.a.",C26/B26)</x:f>
        <x:v>0.36005683653038817</x:v>
      </x:c>
      <x:c r="H26" s="1"/>
      <x:c r="I26" s="1"/>
      <x:c r="J26" s="1"/>
      <x:c r="K26" s="1"/>
      <x:c r="L26" s="1"/>
      <x:c r="M26" s="1"/>
    </x:row>
    <x:row r="27" ht="23" customHeight="1">
      <x:c r="A27" s="1" t="str">
        <x:v>Singapore</x:v>
      </x:c>
      <x:c r="B27" s="6" t="n">
        <x:v>21279.29</x:v>
      </x:c>
      <x:c r="C27" s="6" t="n">
        <x:v>12158.9</x:v>
      </x:c>
      <x:c r="D27" s="6" t="n">
        <x:f>B27-C27</x:f>
        <x:v>9120.390000000001</x:v>
      </x:c>
      <x:c r="E27" s="1" t="n">
        <x:v>7</x:v>
      </x:c>
      <x:c r="F27" s="7" t="n">
        <x:f>D27/SUM($D$7:$D$44)</x:f>
        <x:v>0.0009356039563651023</x:v>
      </x:c>
      <x:c r="G27" s="7" t="n">
        <x:f>IF(B27=0,"n.a.",C27/B27)</x:f>
        <x:v>0.5713959441315946</x:v>
      </x:c>
      <x:c r="H27" s="1"/>
      <x:c r="I27" s="1"/>
      <x:c r="J27" s="1"/>
      <x:c r="K27" s="1"/>
      <x:c r="L27" s="1"/>
      <x:c r="M27" s="1"/>
    </x:row>
    <x:row r="28" ht="23" customHeight="1">
      <x:c r="A28" s="1" t="str">
        <x:v>Israel</x:v>
      </x:c>
      <x:c r="B28" s="6" t="n">
        <x:v>8129.41</x:v>
      </x:c>
      <x:c r="C28" s="6" t="n">
        <x:v>227.44</x:v>
      </x:c>
      <x:c r="D28" s="6" t="n">
        <x:f>B28-C28</x:f>
        <x:v>7901.97</x:v>
      </x:c>
      <x:c r="E28" s="1" t="n">
        <x:v>8</x:v>
      </x:c>
      <x:c r="F28" s="7" t="n">
        <x:f>D28/SUM($D$7:$D$44)</x:f>
        <x:v>0.0008106138438244797</x:v>
      </x:c>
      <x:c r="G28" s="7" t="n">
        <x:f>IF(B28=0,"n.a.",C28/B28)</x:f>
        <x:v>0.02797743009640306</x:v>
      </x:c>
      <x:c r="H28" s="1"/>
      <x:c r="I28" s="1"/>
      <x:c r="J28" s="1"/>
      <x:c r="K28" s="1"/>
      <x:c r="L28" s="1"/>
      <x:c r="M28" s="1"/>
    </x:row>
    <x:row r="29" ht="23" customHeight="1">
      <x:c r="A29" s="1" t="str">
        <x:v>Poland</x:v>
      </x:c>
      <x:c r="B29" s="6" t="n">
        <x:v>7334.65</x:v>
      </x:c>
      <x:c r="C29" s="6" t="n">
        <x:v>121.51</x:v>
      </x:c>
      <x:c r="D29" s="6" t="n">
        <x:f>B29-C29</x:f>
        <x:v>7213.139999999999</x:v>
      </x:c>
      <x:c r="E29" s="1" t="n">
        <x:v>19</x:v>
      </x:c>
      <x:c r="F29" s="7" t="n">
        <x:f>D29/SUM($D$7:$D$44)</x:f>
        <x:v>0.0007399510680810111</x:v>
      </x:c>
      <x:c r="G29" s="7" t="n">
        <x:f>IF(B29=0,"n.a.",C29/B29)</x:f>
        <x:v>0.01656657100202464</x:v>
      </x:c>
      <x:c r="H29" s="1"/>
      <x:c r="I29" s="1"/>
      <x:c r="J29" s="1"/>
      <x:c r="K29" s="1"/>
      <x:c r="L29" s="1"/>
      <x:c r="M29" s="1"/>
    </x:row>
    <x:row r="30" ht="23" customHeight="1">
      <x:c r="A30" s="1" t="str">
        <x:v>Unspecified</x:v>
      </x:c>
      <x:c r="B30" s="6" t="n">
        <x:v>4740.94</x:v>
      </x:c>
      <x:c r="C30" s="6" t="n">
        <x:v>0</x:v>
      </x:c>
      <x:c r="D30" s="6" t="n">
        <x:f>B30-C30</x:f>
        <x:v>4740.94</x:v>
      </x:c>
      <x:c r="E30" s="1" t="n">
        <x:v>13</x:v>
      </x:c>
      <x:c r="F30" s="7" t="n">
        <x:f>D30/SUM($D$7:$D$44)</x:f>
        <x:v>0.0004863434810232421</x:v>
      </x:c>
      <x:c r="G30" s="7" t="n">
        <x:f>IF(B30=0,"n.a.",C30/B30)</x:f>
        <x:v>0</x:v>
      </x:c>
      <x:c r="H30" s="1"/>
      <x:c r="I30" s="1"/>
      <x:c r="J30" s="1"/>
      <x:c r="K30" s="1"/>
      <x:c r="L30" s="1"/>
      <x:c r="M30" s="1"/>
    </x:row>
    <x:row r="31" ht="23" customHeight="1">
      <x:c r="A31" s="1" t="str">
        <x:v>Greece</x:v>
      </x:c>
      <x:c r="B31" s="6" t="n">
        <x:v>4760.52</x:v>
      </x:c>
      <x:c r="C31" s="6" t="n">
        <x:v>50</x:v>
      </x:c>
      <x:c r="D31" s="6" t="n">
        <x:f>B31-C31</x:f>
        <x:v>4710.52</x:v>
      </x:c>
      <x:c r="E31" s="1" t="n">
        <x:v>5</x:v>
      </x:c>
      <x:c r="F31" s="7" t="n">
        <x:f>D31/SUM($D$7:$D$44)</x:f>
        <x:v>0.00048322288285226195</x:v>
      </x:c>
      <x:c r="G31" s="7" t="n">
        <x:f>IF(B31=0,"n.a.",C31/B31)</x:f>
        <x:v>0.010503054288187003</x:v>
      </x:c>
      <x:c r="H31" s="1"/>
      <x:c r="I31" s="1"/>
      <x:c r="J31" s="1"/>
      <x:c r="K31" s="1"/>
      <x:c r="L31" s="1"/>
      <x:c r="M31" s="1"/>
    </x:row>
    <x:row r="32" ht="23" customHeight="1">
      <x:c r="A32" s="1" t="str">
        <x:v>Iceland</x:v>
      </x:c>
      <x:c r="B32" s="6" t="n">
        <x:v>4310</x:v>
      </x:c>
      <x:c r="C32" s="6" t="n">
        <x:v>0</x:v>
      </x:c>
      <x:c r="D32" s="6" t="n">
        <x:f>B32-C32</x:f>
        <x:v>4310</x:v>
      </x:c>
      <x:c r="E32" s="1" t="n">
        <x:v>7</x:v>
      </x:c>
      <x:c r="F32" s="7" t="n">
        <x:f>D32/SUM($D$7:$D$44)</x:f>
        <x:v>0.00044213603277201853</x:v>
      </x:c>
      <x:c r="G32" s="7" t="n">
        <x:f>IF(B32=0,"n.a.",C32/B32)</x:f>
        <x:v>0</x:v>
      </x:c>
      <x:c r="H32" s="1"/>
      <x:c r="I32" s="1"/>
      <x:c r="J32" s="1"/>
      <x:c r="K32" s="1"/>
      <x:c r="L32" s="1"/>
      <x:c r="M32" s="1"/>
    </x:row>
    <x:row r="33" ht="23" customHeight="1">
      <x:c r="A33" s="1" t="str">
        <x:v>Canada</x:v>
      </x:c>
      <x:c r="B33" s="6" t="n">
        <x:v>3666.38</x:v>
      </x:c>
      <x:c r="C33" s="6" t="n">
        <x:v>0</x:v>
      </x:c>
      <x:c r="D33" s="6" t="n">
        <x:f>B33-C33</x:f>
        <x:v>3666.38</x:v>
      </x:c>
      <x:c r="E33" s="1" t="n">
        <x:v>6</x:v>
      </x:c>
      <x:c r="F33" s="7" t="n">
        <x:f>D33/SUM($D$7:$D$44)</x:f>
        <x:v>0.0003761110691031725</x:v>
      </x:c>
      <x:c r="G33" s="7" t="n">
        <x:f>IF(B33=0,"n.a.",C33/B33)</x:f>
        <x:v>0</x:v>
      </x:c>
      <x:c r="H33" s="1"/>
      <x:c r="I33" s="1"/>
      <x:c r="J33" s="1"/>
      <x:c r="K33" s="1"/>
      <x:c r="L33" s="1"/>
      <x:c r="M33" s="1"/>
    </x:row>
    <x:row r="34" ht="23" customHeight="1">
      <x:c r="A34" s="1" t="str">
        <x:v>Malta</x:v>
      </x:c>
      <x:c r="B34" s="6" t="n">
        <x:v>2725.59</x:v>
      </x:c>
      <x:c r="C34" s="6" t="n">
        <x:v>220.12</x:v>
      </x:c>
      <x:c r="D34" s="6" t="n">
        <x:f>B34-C34</x:f>
        <x:v>2505.4700000000003</x:v>
      </x:c>
      <x:c r="E34" s="1" t="n">
        <x:v>5</x:v>
      </x:c>
      <x:c r="F34" s="7" t="n">
        <x:f>D34/SUM($D$7:$D$44)</x:f>
        <x:v>0.0002570205489627168</x:v>
      </x:c>
      <x:c r="G34" s="7" t="n">
        <x:f>IF(B34=0,"n.a.",C34/B34)</x:f>
        <x:v>0.08076049589263241</x:v>
      </x:c>
      <x:c r="H34" s="1"/>
      <x:c r="I34" s="1"/>
      <x:c r="J34" s="1"/>
      <x:c r="K34" s="1"/>
      <x:c r="L34" s="1"/>
      <x:c r="M34" s="1"/>
    </x:row>
    <x:row r="35" ht="23" customHeight="1">
      <x:c r="A35" s="1" t="str">
        <x:v>United Arab Emirates</x:v>
      </x:c>
      <x:c r="B35" s="6" t="n">
        <x:v>1902.28</x:v>
      </x:c>
      <x:c r="C35" s="6" t="n">
        <x:v>0</x:v>
      </x:c>
      <x:c r="D35" s="6" t="n">
        <x:f>B35-C35</x:f>
        <x:v>1902.28</x:v>
      </x:c>
      <x:c r="E35" s="1" t="n">
        <x:v>3</x:v>
      </x:c>
      <x:c r="F35" s="7" t="n">
        <x:f>D35/SUM($D$7:$D$44)</x:f>
        <x:v>0.0001951430469655581</x:v>
      </x:c>
      <x:c r="G35" s="7" t="n">
        <x:f>IF(B35=0,"n.a.",C35/B35)</x:f>
        <x:v>0</x:v>
      </x:c>
      <x:c r="H35" s="1"/>
      <x:c r="I35" s="1"/>
      <x:c r="J35" s="1"/>
      <x:c r="K35" s="1"/>
      <x:c r="L35" s="1"/>
      <x:c r="M35" s="1"/>
    </x:row>
    <x:row r="36" ht="23" customHeight="1">
      <x:c r="A36" s="1" t="str">
        <x:v>USA</x:v>
      </x:c>
      <x:c r="B36" s="6" t="n">
        <x:v>3580.39</x:v>
      </x:c>
      <x:c r="C36" s="6" t="n">
        <x:v>1849.47</x:v>
      </x:c>
      <x:c r="D36" s="6" t="n">
        <x:f>B36-C36</x:f>
        <x:v>1730.9199999999998</x:v>
      </x:c>
      <x:c r="E36" s="1" t="n">
        <x:v>5</x:v>
      </x:c>
      <x:c r="F36" s="7" t="n">
        <x:f>D36/SUM($D$7:$D$44)</x:f>
        <x:v>0.00017756429277163393</x:v>
      </x:c>
      <x:c r="G36" s="7" t="n">
        <x:f>IF(B36=0,"n.a.",C36/B36)</x:f>
        <x:v>0.5165554590421714</x:v>
      </x:c>
      <x:c r="H36" s="1"/>
      <x:c r="I36" s="1"/>
      <x:c r="J36" s="1"/>
      <x:c r="K36" s="1"/>
      <x:c r="L36" s="1"/>
      <x:c r="M36" s="1"/>
    </x:row>
    <x:row r="37" ht="23" customHeight="1">
      <x:c r="A37" s="1" t="str">
        <x:v>Lebanon</x:v>
      </x:c>
      <x:c r="B37" s="6" t="n">
        <x:v>1693.88</x:v>
      </x:c>
      <x:c r="C37" s="6" t="n">
        <x:v>0</x:v>
      </x:c>
      <x:c r="D37" s="6" t="n">
        <x:f>B37-C37</x:f>
        <x:v>1693.88</x:v>
      </x:c>
      <x:c r="E37" s="1" t="n">
        <x:v>1</x:v>
      </x:c>
      <x:c r="F37" s="7" t="n">
        <x:f>D37/SUM($D$7:$D$44)</x:f>
        <x:v>0.0001737645900677185</x:v>
      </x:c>
      <x:c r="G37" s="7" t="n">
        <x:f>IF(B37=0,"n.a.",C37/B37)</x:f>
        <x:v>0</x:v>
      </x:c>
      <x:c r="H37" s="1"/>
      <x:c r="I37" s="1"/>
      <x:c r="J37" s="1"/>
      <x:c r="K37" s="1"/>
      <x:c r="L37" s="1"/>
      <x:c r="M37" s="1"/>
    </x:row>
    <x:row r="38" ht="23" customHeight="1">
      <x:c r="A38" s="1" t="str">
        <x:v>Lithuania</x:v>
      </x:c>
      <x:c r="B38" s="6" t="n">
        <x:v>1661.06</x:v>
      </x:c>
      <x:c r="C38" s="6" t="n">
        <x:v>0</x:v>
      </x:c>
      <x:c r="D38" s="6" t="n">
        <x:f>B38-C38</x:f>
        <x:v>1661.06</x:v>
      </x:c>
      <x:c r="E38" s="1" t="n">
        <x:v>4</x:v>
      </x:c>
      <x:c r="F38" s="7" t="n">
        <x:f>D38/SUM($D$7:$D$44)</x:f>
        <x:v>0.00017039779085760768</x:v>
      </x:c>
      <x:c r="G38" s="7" t="n">
        <x:f>IF(B38=0,"n.a.",C38/B38)</x:f>
        <x:v>0</x:v>
      </x:c>
      <x:c r="H38" s="1"/>
      <x:c r="I38" s="1"/>
      <x:c r="J38" s="1"/>
      <x:c r="K38" s="1"/>
      <x:c r="L38" s="1"/>
      <x:c r="M38" s="1"/>
    </x:row>
    <x:row r="39" ht="23" customHeight="1">
      <x:c r="A39" s="1" t="str">
        <x:v>European Community</x:v>
      </x:c>
      <x:c r="B39" s="6" t="n">
        <x:v>1300.25</x:v>
      </x:c>
      <x:c r="C39" s="6" t="n">
        <x:v>8.5</x:v>
      </x:c>
      <x:c r="D39" s="6" t="n">
        <x:f>B39-C39</x:f>
        <x:v>1291.75</x:v>
      </x:c>
      <x:c r="E39" s="1" t="n">
        <x:v>4</x:v>
      </x:c>
      <x:c r="F39" s="7" t="n">
        <x:f>D39/SUM($D$7:$D$44)</x:f>
        <x:v>0.00013251258012372504</x:v>
      </x:c>
      <x:c r="G39" s="7" t="n">
        <x:f>IF(B39=0,"n.a.",C39/B39)</x:f>
        <x:v>0.006537204383772351</x:v>
      </x:c>
      <x:c r="H39" s="1"/>
      <x:c r="I39" s="1"/>
      <x:c r="J39" s="1"/>
      <x:c r="K39" s="1"/>
      <x:c r="L39" s="1"/>
      <x:c r="M39" s="1"/>
    </x:row>
    <x:row r="40" ht="23" customHeight="1">
      <x:c r="A40" s="1" t="str">
        <x:v>Brazil</x:v>
      </x:c>
      <x:c r="B40" s="6" t="n">
        <x:v>1143.6</x:v>
      </x:c>
      <x:c r="C40" s="6" t="n">
        <x:v>0</x:v>
      </x:c>
      <x:c r="D40" s="6" t="n">
        <x:f>B40-C40</x:f>
        <x:v>1143.6</x:v>
      </x:c>
      <x:c r="E40" s="1" t="n">
        <x:v>1</x:v>
      </x:c>
      <x:c r="F40" s="7" t="n">
        <x:f>D40/SUM($D$7:$D$44)</x:f>
        <x:v>0.0001173147951457263</x:v>
      </x:c>
      <x:c r="G40" s="7" t="n">
        <x:f>IF(B40=0,"n.a.",C40/B40)</x:f>
        <x:v>0</x:v>
      </x:c>
      <x:c r="H40" s="1"/>
      <x:c r="I40" s="1"/>
      <x:c r="J40" s="1"/>
      <x:c r="K40" s="1"/>
      <x:c r="L40" s="1"/>
      <x:c r="M40" s="1"/>
    </x:row>
    <x:row r="41" ht="23" customHeight="1">
      <x:c r="A41" s="1" t="str">
        <x:v>RSA</x:v>
      </x:c>
      <x:c r="B41" s="6" t="n">
        <x:v>1002.31</x:v>
      </x:c>
      <x:c r="C41" s="6" t="n">
        <x:v>0</x:v>
      </x:c>
      <x:c r="D41" s="6" t="n">
        <x:f>B41-C41</x:f>
        <x:v>1002.31</x:v>
      </x:c>
      <x:c r="E41" s="1" t="n">
        <x:v>1</x:v>
      </x:c>
      <x:c r="F41" s="7" t="n">
        <x:f>D41/SUM($D$7:$D$44)</x:f>
        <x:v>0.00010282073480457584</x:v>
      </x:c>
      <x:c r="G41" s="7" t="n">
        <x:f>IF(B41=0,"n.a.",C41/B41)</x:f>
        <x:v>0</x:v>
      </x:c>
      <x:c r="H41" s="1"/>
      <x:c r="I41" s="1"/>
      <x:c r="J41" s="1"/>
      <x:c r="K41" s="1"/>
      <x:c r="L41" s="1"/>
      <x:c r="M41" s="1"/>
    </x:row>
    <x:row r="42" ht="23" customHeight="1">
      <x:c r="A42" s="1" t="str">
        <x:v>Czech Republic</x:v>
      </x:c>
      <x:c r="B42" s="6" t="n">
        <x:v>826.74</x:v>
      </x:c>
      <x:c r="C42" s="6" t="n">
        <x:v>119.02</x:v>
      </x:c>
      <x:c r="D42" s="6" t="n">
        <x:f>B42-C42</x:f>
        <x:v>707.72</x:v>
      </x:c>
      <x:c r="E42" s="1" t="n">
        <x:v>2</x:v>
      </x:c>
      <x:c r="F42" s="7" t="n">
        <x:f>D42/SUM($D$7:$D$44)</x:f>
        <x:v>0.00007260058308895893</x:v>
      </x:c>
      <x:c r="G42" s="7" t="n">
        <x:f>IF(B42=0,"n.a.",C42/B42)</x:f>
        <x:v>0.14396303553717008</x:v>
      </x:c>
      <x:c r="H42" s="1"/>
      <x:c r="I42" s="1"/>
      <x:c r="J42" s="1"/>
      <x:c r="K42" s="1"/>
      <x:c r="L42" s="1"/>
      <x:c r="M42" s="1"/>
    </x:row>
    <x:row r="43" ht="23" customHeight="1">
      <x:c r="A43" s="1" t="str">
        <x:v>Bahrain</x:v>
      </x:c>
      <x:c r="B43" s="6" t="n">
        <x:v>754.14</x:v>
      </x:c>
      <x:c r="C43" s="6" t="n">
        <x:v>205.74</x:v>
      </x:c>
      <x:c r="D43" s="6" t="n">
        <x:f>B43-C43</x:f>
        <x:v>548.4</x:v>
      </x:c>
      <x:c r="E43" s="1" t="n">
        <x:v>3</x:v>
      </x:c>
      <x:c r="F43" s="7" t="n">
        <x:f>D43/SUM($D$7:$D$44)</x:f>
        <x:v>0.0000562569374413399</x:v>
      </x:c>
      <x:c r="G43" s="7" t="n">
        <x:f>IF(B43=0,"n.a.",C43/B43)</x:f>
        <x:v>0.27281406635372746</x:v>
      </x:c>
      <x:c r="H43" s="1"/>
      <x:c r="I43" s="1"/>
      <x:c r="J43" s="1"/>
      <x:c r="K43" s="1"/>
      <x:c r="L43" s="1"/>
      <x:c r="M43" s="1"/>
    </x:row>
    <x:row r="44" ht="23" customHeight="1">
      <x:c r="A44" s="1" t="str">
        <x:v>Saudi Arabia</x:v>
      </x:c>
      <x:c r="B44" s="6" t="n">
        <x:v>145.92</x:v>
      </x:c>
      <x:c r="C44" s="6" t="n">
        <x:v>14.75</x:v>
      </x:c>
      <x:c r="D44" s="6" t="n">
        <x:f>B44-C44</x:f>
        <x:v>131.17</x:v>
      </x:c>
      <x:c r="E44" s="1" t="n">
        <x:v>1</x:v>
      </x:c>
      <x:c r="F44" s="7" t="n">
        <x:f>D44/SUM($D$7:$D$44)</x:f>
        <x:v>0.000013455912626149806</x:v>
      </x:c>
      <x:c r="G44" s="7" t="n">
        <x:f>IF(B44=0,"n.a.",C44/B44)</x:f>
        <x:v>0.10108278508771931</x:v>
      </x:c>
      <x:c r="H44" s="1"/>
      <x:c r="I44" s="1"/>
      <x:c r="J44" s="1"/>
      <x:c r="K44" s="1"/>
      <x:c r="L44" s="1"/>
      <x:c r="M44" s="1"/>
    </x:row>
  </x:sheetData>
  <x:pageMargins left="0.7" right="0.7" top="0.75" bottom="0.75" header="0.3" footer="0.3"/>
  <x:tableParts count="1">
    <x:tablePart xmlns:r="http://schemas.openxmlformats.org/officeDocument/2006/relationships" r:id="R1f80c7042499442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23" customHeight="1">
      <x:c r="A2" s="2" t="str">
        <x:v>Observed customer retention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23" customHeight="1">
      <x:c r="A3" s="1" t="str">
        <x:v>First observed purchase cohort; identified buyers only; December 2011 excluded.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 ht="23" customHeight="1">
      <x:c r="A4" s="1" t="str">
        <x:v>Blank = period not observed. Zero = observed month with no repeat purchasers.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 ht="23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</x:row>
    <x:row r="6" ht="32" customHeight="1">
      <x:c r="A6" s="5" t="str">
        <x:v>Cohort</x:v>
      </x:c>
      <x:c r="B6" s="5" t="str">
        <x:v>Month 0</x:v>
      </x:c>
      <x:c r="C6" s="5" t="str">
        <x:v>Month 1</x:v>
      </x:c>
      <x:c r="D6" s="5" t="str">
        <x:v>Month 2</x:v>
      </x:c>
      <x:c r="E6" s="5" t="str">
        <x:v>Month 3</x:v>
      </x:c>
      <x:c r="F6" s="5" t="str">
        <x:v>Month 4</x:v>
      </x:c>
      <x:c r="G6" s="5" t="str">
        <x:v>Month 5</x:v>
      </x:c>
      <x:c r="H6" s="5" t="str">
        <x:v>Month 6</x:v>
      </x:c>
      <x:c r="I6" s="5" t="str">
        <x:v>Month 7</x:v>
      </x:c>
      <x:c r="J6" s="5" t="str">
        <x:v>Month 8</x:v>
      </x:c>
      <x:c r="K6" s="5" t="str">
        <x:v>Month 9</x:v>
      </x:c>
      <x:c r="L6" s="5" t="str">
        <x:v>Month 10</x:v>
      </x:c>
      <x:c r="M6" s="5" t="str">
        <x:v>Month 11</x:v>
      </x:c>
      <x:c r="N6" s="5" t="str">
        <x:v>Cohort size</x:v>
      </x:c>
    </x:row>
    <x:row r="7" ht="23" customHeight="1">
      <x:c r="A7" s="1" t="str">
        <x:f>A25</x:f>
        <x:v>2010-12</x:v>
      </x:c>
      <x:c r="B7" s="14" t="n">
        <x:f>B25/$N25</x:f>
        <x:v>1</x:v>
      </x:c>
      <x:c r="C7" s="14" t="n">
        <x:f>C25/$N25</x:f>
        <x:v>0.36610169491525424</x:v>
      </x:c>
      <x:c r="D7" s="14" t="n">
        <x:f>D25/$N25</x:f>
        <x:v>0.3231638418079096</x:v>
      </x:c>
      <x:c r="E7" s="14" t="n">
        <x:f>E25/$N25</x:f>
        <x:v>0.384180790960452</x:v>
      </x:c>
      <x:c r="F7" s="14" t="n">
        <x:f>F25/$N25</x:f>
        <x:v>0.36271186440677966</x:v>
      </x:c>
      <x:c r="G7" s="14" t="n">
        <x:f>G25/$N25</x:f>
        <x:v>0.3977401129943503</x:v>
      </x:c>
      <x:c r="H7" s="14" t="n">
        <x:f>H25/$N25</x:f>
        <x:v>0.36271186440677966</x:v>
      </x:c>
      <x:c r="I7" s="14" t="n">
        <x:f>I25/$N25</x:f>
        <x:v>0.34915254237288135</x:v>
      </x:c>
      <x:c r="J7" s="14" t="n">
        <x:f>J25/$N25</x:f>
        <x:v>0.3536723163841808</x:v>
      </x:c>
      <x:c r="K7" s="14" t="n">
        <x:f>K25/$N25</x:f>
        <x:v>0.3954802259887006</x:v>
      </x:c>
      <x:c r="L7" s="14" t="n">
        <x:f>L25/$N25</x:f>
        <x:v>0.37401129943502825</x:v>
      </x:c>
      <x:c r="M7" s="14" t="n">
        <x:f>M25/$N25</x:f>
        <x:v>0.5028248587570622</x:v>
      </x:c>
      <x:c r="N7" s="1" t="n">
        <x:f>N25</x:f>
        <x:v>885</x:v>
      </x:c>
    </x:row>
    <x:row r="8" ht="23" customHeight="1">
      <x:c r="A8" s="1" t="str">
        <x:f>A26</x:f>
        <x:v>2011-01</x:v>
      </x:c>
      <x:c r="B8" s="14" t="n">
        <x:f>B26/$N26</x:f>
        <x:v>1</x:v>
      </x:c>
      <x:c r="C8" s="14" t="n">
        <x:f>C26/$N26</x:f>
        <x:v>0.22062350119904076</x:v>
      </x:c>
      <x:c r="D8" s="14" t="n">
        <x:f>D26/$N26</x:f>
        <x:v>0.26618705035971224</x:v>
      </x:c>
      <x:c r="E8" s="14" t="n">
        <x:f>E26/$N26</x:f>
        <x:v>0.2302158273381295</x:v>
      </x:c>
      <x:c r="F8" s="14" t="n">
        <x:f>F26/$N26</x:f>
        <x:v>0.3213429256594724</x:v>
      </x:c>
      <x:c r="G8" s="14" t="n">
        <x:f>G26/$N26</x:f>
        <x:v>0.28776978417266186</x:v>
      </x:c>
      <x:c r="H8" s="14" t="n">
        <x:f>H26/$N26</x:f>
        <x:v>0.24700239808153476</x:v>
      </x:c>
      <x:c r="I8" s="14" t="n">
        <x:f>I26/$N26</x:f>
        <x:v>0.2422062350119904</x:v>
      </x:c>
      <x:c r="J8" s="14" t="n">
        <x:f>J26/$N26</x:f>
        <x:v>0.2997601918465228</x:v>
      </x:c>
      <x:c r="K8" s="14" t="n">
        <x:f>K26/$N26</x:f>
        <x:v>0.3261390887290168</x:v>
      </x:c>
      <x:c r="L8" s="14" t="n">
        <x:f>L26/$N26</x:f>
        <x:v>0.3645083932853717</x:v>
      </x:c>
      <x:c r="M8" s="14"/>
      <x:c r="N8" s="1" t="n">
        <x:f>N26</x:f>
        <x:v>417</x:v>
      </x:c>
    </x:row>
    <x:row r="9" ht="23" customHeight="1">
      <x:c r="A9" s="1" t="str">
        <x:f>A27</x:f>
        <x:v>2011-02</x:v>
      </x:c>
      <x:c r="B9" s="14" t="n">
        <x:f>B27/$N27</x:f>
        <x:v>1</x:v>
      </x:c>
      <x:c r="C9" s="14" t="n">
        <x:f>C27/$N27</x:f>
        <x:v>0.1868421052631579</x:v>
      </x:c>
      <x:c r="D9" s="14" t="n">
        <x:f>D27/$N27</x:f>
        <x:v>0.1868421052631579</x:v>
      </x:c>
      <x:c r="E9" s="14" t="n">
        <x:f>E27/$N27</x:f>
        <x:v>0.28421052631578947</x:v>
      </x:c>
      <x:c r="F9" s="14" t="n">
        <x:f>F27/$N27</x:f>
        <x:v>0.2710526315789474</x:v>
      </x:c>
      <x:c r="G9" s="14" t="n">
        <x:f>G27/$N27</x:f>
        <x:v>0.24736842105263157</x:v>
      </x:c>
      <x:c r="H9" s="14" t="n">
        <x:f>H27/$N27</x:f>
        <x:v>0.25263157894736843</x:v>
      </x:c>
      <x:c r="I9" s="14" t="n">
        <x:f>I27/$N27</x:f>
        <x:v>0.2789473684210526</x:v>
      </x:c>
      <x:c r="J9" s="14" t="n">
        <x:f>J27/$N27</x:f>
        <x:v>0.24736842105263157</x:v>
      </x:c>
      <x:c r="K9" s="14" t="n">
        <x:f>K27/$N27</x:f>
        <x:v>0.30526315789473685</x:v>
      </x:c>
      <x:c r="L9" s="14"/>
      <x:c r="M9" s="14"/>
      <x:c r="N9" s="1" t="n">
        <x:f>N27</x:f>
        <x:v>380</x:v>
      </x:c>
    </x:row>
    <x:row r="10" ht="23" customHeight="1">
      <x:c r="A10" s="1" t="str">
        <x:f>A28</x:f>
        <x:v>2011-03</x:v>
      </x:c>
      <x:c r="B10" s="14" t="n">
        <x:f>B28/$N28</x:f>
        <x:v>1</x:v>
      </x:c>
      <x:c r="C10" s="14" t="n">
        <x:f>C28/$N28</x:f>
        <x:v>0.1504424778761062</x:v>
      </x:c>
      <x:c r="D10" s="14" t="n">
        <x:f>D28/$N28</x:f>
        <x:v>0.252212389380531</x:v>
      </x:c>
      <x:c r="E10" s="14" t="n">
        <x:f>E28/$N28</x:f>
        <x:v>0.19911504424778761</x:v>
      </x:c>
      <x:c r="F10" s="14" t="n">
        <x:f>F28/$N28</x:f>
        <x:v>0.2234513274336283</x:v>
      </x:c>
      <x:c r="G10" s="14" t="n">
        <x:f>G28/$N28</x:f>
        <x:v>0.168141592920354</x:v>
      </x:c>
      <x:c r="H10" s="14" t="n">
        <x:f>H28/$N28</x:f>
        <x:v>0.2676991150442478</x:v>
      </x:c>
      <x:c r="I10" s="14" t="n">
        <x:f>I28/$N28</x:f>
        <x:v>0.23008849557522124</x:v>
      </x:c>
      <x:c r="J10" s="14" t="n">
        <x:f>J28/$N28</x:f>
        <x:v>0.27876106194690264</x:v>
      </x:c>
      <x:c r="K10" s="14"/>
      <x:c r="L10" s="14"/>
      <x:c r="M10" s="14"/>
      <x:c r="N10" s="1" t="n">
        <x:f>N28</x:f>
        <x:v>452</x:v>
      </x:c>
    </x:row>
    <x:row r="11" ht="23" customHeight="1">
      <x:c r="A11" s="1" t="str">
        <x:f>A29</x:f>
        <x:v>2011-04</x:v>
      </x:c>
      <x:c r="B11" s="14" t="n">
        <x:f>B29/$N29</x:f>
        <x:v>1</x:v>
      </x:c>
      <x:c r="C11" s="14" t="n">
        <x:f>C29/$N29</x:f>
        <x:v>0.21333333333333335</x:v>
      </x:c>
      <x:c r="D11" s="14" t="n">
        <x:f>D29/$N29</x:f>
        <x:v>0.20333333333333334</x:v>
      </x:c>
      <x:c r="E11" s="14" t="n">
        <x:f>E29/$N29</x:f>
        <x:v>0.21</x:v>
      </x:c>
      <x:c r="F11" s="14" t="n">
        <x:f>F29/$N29</x:f>
        <x:v>0.19666666666666666</x:v>
      </x:c>
      <x:c r="G11" s="14" t="n">
        <x:f>G29/$N29</x:f>
        <x:v>0.22666666666666666</x:v>
      </x:c>
      <x:c r="H11" s="14" t="n">
        <x:f>H29/$N29</x:f>
        <x:v>0.21666666666666667</x:v>
      </x:c>
      <x:c r="I11" s="14" t="n">
        <x:f>I29/$N29</x:f>
        <x:v>0.26</x:v>
      </x:c>
      <x:c r="J11" s="14"/>
      <x:c r="K11" s="14"/>
      <x:c r="L11" s="14"/>
      <x:c r="M11" s="14"/>
      <x:c r="N11" s="1" t="n">
        <x:f>N29</x:f>
        <x:v>300</x:v>
      </x:c>
    </x:row>
    <x:row r="12" ht="23" customHeight="1">
      <x:c r="A12" s="1" t="str">
        <x:f>A30</x:f>
        <x:v>2011-05</x:v>
      </x:c>
      <x:c r="B12" s="14" t="n">
        <x:f>B30/$N30</x:f>
        <x:v>1</x:v>
      </x:c>
      <x:c r="C12" s="14" t="n">
        <x:f>C30/$N30</x:f>
        <x:v>0.19014084507042253</x:v>
      </x:c>
      <x:c r="D12" s="14" t="n">
        <x:f>D30/$N30</x:f>
        <x:v>0.17253521126760563</x:v>
      </x:c>
      <x:c r="E12" s="14" t="n">
        <x:f>E30/$N30</x:f>
        <x:v>0.17253521126760563</x:v>
      </x:c>
      <x:c r="F12" s="14" t="n">
        <x:f>F30/$N30</x:f>
        <x:v>0.20774647887323944</x:v>
      </x:c>
      <x:c r="G12" s="14" t="n">
        <x:f>G30/$N30</x:f>
        <x:v>0.2323943661971831</x:v>
      </x:c>
      <x:c r="H12" s="14" t="n">
        <x:f>H30/$N30</x:f>
        <x:v>0.2640845070422535</x:v>
      </x:c>
      <x:c r="I12" s="14"/>
      <x:c r="J12" s="14"/>
      <x:c r="K12" s="14"/>
      <x:c r="L12" s="14"/>
      <x:c r="M12" s="14"/>
      <x:c r="N12" s="1" t="n">
        <x:f>N30</x:f>
        <x:v>284</x:v>
      </x:c>
    </x:row>
    <x:row r="13" ht="23" customHeight="1">
      <x:c r="A13" s="1" t="str">
        <x:f>A31</x:f>
        <x:v>2011-06</x:v>
      </x:c>
      <x:c r="B13" s="14" t="n">
        <x:f>B31/$N31</x:f>
        <x:v>1</x:v>
      </x:c>
      <x:c r="C13" s="14" t="n">
        <x:f>C31/$N31</x:f>
        <x:v>0.17355371900826447</x:v>
      </x:c>
      <x:c r="D13" s="14" t="n">
        <x:f>D31/$N31</x:f>
        <x:v>0.15702479338842976</x:v>
      </x:c>
      <x:c r="E13" s="14" t="n">
        <x:f>E31/$N31</x:f>
        <x:v>0.2644628099173554</x:v>
      </x:c>
      <x:c r="F13" s="14" t="n">
        <x:f>F31/$N31</x:f>
        <x:v>0.23140495867768596</x:v>
      </x:c>
      <x:c r="G13" s="14" t="n">
        <x:f>G31/$N31</x:f>
        <x:v>0.3347107438016529</x:v>
      </x:c>
      <x:c r="H13" s="14"/>
      <x:c r="I13" s="14"/>
      <x:c r="J13" s="14"/>
      <x:c r="K13" s="14"/>
      <x:c r="L13" s="14"/>
      <x:c r="M13" s="14"/>
      <x:c r="N13" s="1" t="n">
        <x:f>N31</x:f>
        <x:v>242</x:v>
      </x:c>
    </x:row>
    <x:row r="14" ht="23" customHeight="1">
      <x:c r="A14" s="1" t="str">
        <x:f>A32</x:f>
        <x:v>2011-07</x:v>
      </x:c>
      <x:c r="B14" s="14" t="n">
        <x:f>B32/$N32</x:f>
        <x:v>1</x:v>
      </x:c>
      <x:c r="C14" s="14" t="n">
        <x:f>C32/$N32</x:f>
        <x:v>0.18085106382978725</x:v>
      </x:c>
      <x:c r="D14" s="14" t="n">
        <x:f>D32/$N32</x:f>
        <x:v>0.2074468085106383</x:v>
      </x:c>
      <x:c r="E14" s="14" t="n">
        <x:f>E32/$N32</x:f>
        <x:v>0.22340425531914893</x:v>
      </x:c>
      <x:c r="F14" s="14" t="n">
        <x:f>F32/$N32</x:f>
        <x:v>0.2712765957446808</x:v>
      </x:c>
      <x:c r="G14" s="14"/>
      <x:c r="H14" s="14"/>
      <x:c r="I14" s="14"/>
      <x:c r="J14" s="14"/>
      <x:c r="K14" s="14"/>
      <x:c r="L14" s="14"/>
      <x:c r="M14" s="14"/>
      <x:c r="N14" s="1" t="n">
        <x:f>N32</x:f>
        <x:v>188</x:v>
      </x:c>
    </x:row>
    <x:row r="15" ht="23" customHeight="1">
      <x:c r="A15" s="1" t="str">
        <x:f>A33</x:f>
        <x:v>2011-08</x:v>
      </x:c>
      <x:c r="B15" s="14" t="n">
        <x:f>B33/$N33</x:f>
        <x:v>1</x:v>
      </x:c>
      <x:c r="C15" s="14" t="n">
        <x:f>C33/$N33</x:f>
        <x:v>0.20710059171597633</x:v>
      </x:c>
      <x:c r="D15" s="14" t="n">
        <x:f>D33/$N33</x:f>
        <x:v>0.2485207100591716</x:v>
      </x:c>
      <x:c r="E15" s="14" t="n">
        <x:f>E33/$N33</x:f>
        <x:v>0.24260355029585798</x:v>
      </x:c>
      <x:c r="F15" s="14"/>
      <x:c r="G15" s="14"/>
      <x:c r="H15" s="14"/>
      <x:c r="I15" s="14"/>
      <x:c r="J15" s="14"/>
      <x:c r="K15" s="14"/>
      <x:c r="L15" s="14"/>
      <x:c r="M15" s="14"/>
      <x:c r="N15" s="1" t="n">
        <x:f>N33</x:f>
        <x:v>169</x:v>
      </x:c>
    </x:row>
    <x:row r="16" ht="23" customHeight="1">
      <x:c r="A16" s="1" t="str">
        <x:f>A34</x:f>
        <x:v>2011-09</x:v>
      </x:c>
      <x:c r="B16" s="14" t="n">
        <x:f>B34/$N34</x:f>
        <x:v>1</x:v>
      </x:c>
      <x:c r="C16" s="14" t="n">
        <x:f>C34/$N34</x:f>
        <x:v>0.23411371237458195</x:v>
      </x:c>
      <x:c r="D16" s="14" t="n">
        <x:f>D34/$N34</x:f>
        <x:v>0.3010033444816054</x:v>
      </x:c>
      <x:c r="E16" s="14"/>
      <x:c r="F16" s="14"/>
      <x:c r="G16" s="14"/>
      <x:c r="H16" s="14"/>
      <x:c r="I16" s="14"/>
      <x:c r="J16" s="14"/>
      <x:c r="K16" s="14"/>
      <x:c r="L16" s="14"/>
      <x:c r="M16" s="14"/>
      <x:c r="N16" s="1" t="n">
        <x:f>N34</x:f>
        <x:v>299</x:v>
      </x:c>
    </x:row>
    <x:row r="17" ht="23" customHeight="1">
      <x:c r="A17" s="1" t="str">
        <x:f>A35</x:f>
        <x:v>2011-10</x:v>
      </x:c>
      <x:c r="B17" s="14" t="n">
        <x:f>B35/$N35</x:f>
        <x:v>1</x:v>
      </x:c>
      <x:c r="C17" s="14" t="n">
        <x:f>C35/$N35</x:f>
        <x:v>0.24022346368715083</x:v>
      </x:c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" t="n">
        <x:f>N35</x:f>
        <x:v>358</x:v>
      </x:c>
    </x:row>
    <x:row r="18" ht="23" customHeight="1">
      <x:c r="A18" s="1" t="str">
        <x:f>A36</x:f>
        <x:v>2011-11</x:v>
      </x:c>
      <x:c r="B18" s="14" t="n">
        <x:f>B36/$N36</x:f>
        <x:v>1</x:v>
      </x:c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" t="n">
        <x:f>N36</x:f>
        <x:v>323</x:v>
      </x:c>
    </x:row>
    <x:row r="19" ht="23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 ht="23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 ht="23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 ht="32" customHeight="1">
      <x:c r="A24" s="5" t="str">
        <x:v>Source counts</x:v>
      </x:c>
      <x:c r="B24" s="5" t="str">
        <x:v>Month 0</x:v>
      </x:c>
      <x:c r="C24" s="5" t="str">
        <x:v>Month 1</x:v>
      </x:c>
      <x:c r="D24" s="5" t="str">
        <x:v>Month 2</x:v>
      </x:c>
      <x:c r="E24" s="5" t="str">
        <x:v>Month 3</x:v>
      </x:c>
      <x:c r="F24" s="5" t="str">
        <x:v>Month 4</x:v>
      </x:c>
      <x:c r="G24" s="5" t="str">
        <x:v>Month 5</x:v>
      </x:c>
      <x:c r="H24" s="5" t="str">
        <x:v>Month 6</x:v>
      </x:c>
      <x:c r="I24" s="5" t="str">
        <x:v>Month 7</x:v>
      </x:c>
      <x:c r="J24" s="5" t="str">
        <x:v>Month 8</x:v>
      </x:c>
      <x:c r="K24" s="5" t="str">
        <x:v>Month 9</x:v>
      </x:c>
      <x:c r="L24" s="5" t="str">
        <x:v>Month 10</x:v>
      </x:c>
      <x:c r="M24" s="5" t="str">
        <x:v>Month 11</x:v>
      </x:c>
      <x:c r="N24" s="5" t="str">
        <x:v>Cohort size</x:v>
      </x:c>
    </x:row>
    <x:row r="25">
      <x:c r="A25" s="1" t="str">
        <x:v>2010-12</x:v>
      </x:c>
      <x:c r="B25" s="1" t="n">
        <x:v>885</x:v>
      </x:c>
      <x:c r="C25" s="1" t="n">
        <x:v>324</x:v>
      </x:c>
      <x:c r="D25" s="1" t="n">
        <x:v>286</x:v>
      </x:c>
      <x:c r="E25" s="1" t="n">
        <x:v>340</x:v>
      </x:c>
      <x:c r="F25" s="1" t="n">
        <x:v>321</x:v>
      </x:c>
      <x:c r="G25" s="1" t="n">
        <x:v>352</x:v>
      </x:c>
      <x:c r="H25" s="1" t="n">
        <x:v>321</x:v>
      </x:c>
      <x:c r="I25" s="1" t="n">
        <x:v>309</x:v>
      </x:c>
      <x:c r="J25" s="1" t="n">
        <x:v>313</x:v>
      </x:c>
      <x:c r="K25" s="1" t="n">
        <x:v>350</x:v>
      </x:c>
      <x:c r="L25" s="1" t="n">
        <x:v>331</x:v>
      </x:c>
      <x:c r="M25" s="1" t="n">
        <x:v>445</x:v>
      </x:c>
      <x:c r="N25" s="1" t="n">
        <x:v>885</x:v>
      </x:c>
    </x:row>
    <x:row r="26">
      <x:c r="A26" s="1" t="str">
        <x:v>2011-01</x:v>
      </x:c>
      <x:c r="B26" s="1" t="n">
        <x:v>417</x:v>
      </x:c>
      <x:c r="C26" s="1" t="n">
        <x:v>92</x:v>
      </x:c>
      <x:c r="D26" s="1" t="n">
        <x:v>111</x:v>
      </x:c>
      <x:c r="E26" s="1" t="n">
        <x:v>96</x:v>
      </x:c>
      <x:c r="F26" s="1" t="n">
        <x:v>134</x:v>
      </x:c>
      <x:c r="G26" s="1" t="n">
        <x:v>120</x:v>
      </x:c>
      <x:c r="H26" s="1" t="n">
        <x:v>103</x:v>
      </x:c>
      <x:c r="I26" s="1" t="n">
        <x:v>101</x:v>
      </x:c>
      <x:c r="J26" s="1" t="n">
        <x:v>125</x:v>
      </x:c>
      <x:c r="K26" s="1" t="n">
        <x:v>136</x:v>
      </x:c>
      <x:c r="L26" s="1" t="n">
        <x:v>152</x:v>
      </x:c>
      <x:c r="M26" s="1"/>
      <x:c r="N26" s="1" t="n">
        <x:v>417</x:v>
      </x:c>
    </x:row>
    <x:row r="27">
      <x:c r="A27" s="1" t="str">
        <x:v>2011-02</x:v>
      </x:c>
      <x:c r="B27" s="1" t="n">
        <x:v>380</x:v>
      </x:c>
      <x:c r="C27" s="1" t="n">
        <x:v>71</x:v>
      </x:c>
      <x:c r="D27" s="1" t="n">
        <x:v>71</x:v>
      </x:c>
      <x:c r="E27" s="1" t="n">
        <x:v>108</x:v>
      </x:c>
      <x:c r="F27" s="1" t="n">
        <x:v>103</x:v>
      </x:c>
      <x:c r="G27" s="1" t="n">
        <x:v>94</x:v>
      </x:c>
      <x:c r="H27" s="1" t="n">
        <x:v>96</x:v>
      </x:c>
      <x:c r="I27" s="1" t="n">
        <x:v>106</x:v>
      </x:c>
      <x:c r="J27" s="1" t="n">
        <x:v>94</x:v>
      </x:c>
      <x:c r="K27" s="1" t="n">
        <x:v>116</x:v>
      </x:c>
      <x:c r="L27" s="1"/>
      <x:c r="M27" s="1"/>
      <x:c r="N27" s="1" t="n">
        <x:v>380</x:v>
      </x:c>
    </x:row>
    <x:row r="28">
      <x:c r="A28" s="1" t="str">
        <x:v>2011-03</x:v>
      </x:c>
      <x:c r="B28" s="1" t="n">
        <x:v>452</x:v>
      </x:c>
      <x:c r="C28" s="1" t="n">
        <x:v>68</x:v>
      </x:c>
      <x:c r="D28" s="1" t="n">
        <x:v>114</x:v>
      </x:c>
      <x:c r="E28" s="1" t="n">
        <x:v>90</x:v>
      </x:c>
      <x:c r="F28" s="1" t="n">
        <x:v>101</x:v>
      </x:c>
      <x:c r="G28" s="1" t="n">
        <x:v>76</x:v>
      </x:c>
      <x:c r="H28" s="1" t="n">
        <x:v>121</x:v>
      </x:c>
      <x:c r="I28" s="1" t="n">
        <x:v>104</x:v>
      </x:c>
      <x:c r="J28" s="1" t="n">
        <x:v>126</x:v>
      </x:c>
      <x:c r="K28" s="1"/>
      <x:c r="L28" s="1"/>
      <x:c r="M28" s="1"/>
      <x:c r="N28" s="1" t="n">
        <x:v>452</x:v>
      </x:c>
    </x:row>
    <x:row r="29">
      <x:c r="A29" s="1" t="str">
        <x:v>2011-04</x:v>
      </x:c>
      <x:c r="B29" s="1" t="n">
        <x:v>300</x:v>
      </x:c>
      <x:c r="C29" s="1" t="n">
        <x:v>64</x:v>
      </x:c>
      <x:c r="D29" s="1" t="n">
        <x:v>61</x:v>
      </x:c>
      <x:c r="E29" s="1" t="n">
        <x:v>63</x:v>
      </x:c>
      <x:c r="F29" s="1" t="n">
        <x:v>59</x:v>
      </x:c>
      <x:c r="G29" s="1" t="n">
        <x:v>68</x:v>
      </x:c>
      <x:c r="H29" s="1" t="n">
        <x:v>65</x:v>
      </x:c>
      <x:c r="I29" s="1" t="n">
        <x:v>78</x:v>
      </x:c>
      <x:c r="J29" s="1"/>
      <x:c r="K29" s="1"/>
      <x:c r="L29" s="1"/>
      <x:c r="M29" s="1"/>
      <x:c r="N29" s="1" t="n">
        <x:v>300</x:v>
      </x:c>
    </x:row>
    <x:row r="30">
      <x:c r="A30" s="1" t="str">
        <x:v>2011-05</x:v>
      </x:c>
      <x:c r="B30" s="1" t="n">
        <x:v>284</x:v>
      </x:c>
      <x:c r="C30" s="1" t="n">
        <x:v>54</x:v>
      </x:c>
      <x:c r="D30" s="1" t="n">
        <x:v>49</x:v>
      </x:c>
      <x:c r="E30" s="1" t="n">
        <x:v>49</x:v>
      </x:c>
      <x:c r="F30" s="1" t="n">
        <x:v>59</x:v>
      </x:c>
      <x:c r="G30" s="1" t="n">
        <x:v>66</x:v>
      </x:c>
      <x:c r="H30" s="1" t="n">
        <x:v>75</x:v>
      </x:c>
      <x:c r="I30" s="1"/>
      <x:c r="J30" s="1"/>
      <x:c r="K30" s="1"/>
      <x:c r="L30" s="1"/>
      <x:c r="M30" s="1"/>
      <x:c r="N30" s="1" t="n">
        <x:v>284</x:v>
      </x:c>
    </x:row>
    <x:row r="31">
      <x:c r="A31" s="1" t="str">
        <x:v>2011-06</x:v>
      </x:c>
      <x:c r="B31" s="1" t="n">
        <x:v>242</x:v>
      </x:c>
      <x:c r="C31" s="1" t="n">
        <x:v>42</x:v>
      </x:c>
      <x:c r="D31" s="1" t="n">
        <x:v>38</x:v>
      </x:c>
      <x:c r="E31" s="1" t="n">
        <x:v>64</x:v>
      </x:c>
      <x:c r="F31" s="1" t="n">
        <x:v>56</x:v>
      </x:c>
      <x:c r="G31" s="1" t="n">
        <x:v>81</x:v>
      </x:c>
      <x:c r="H31" s="1"/>
      <x:c r="I31" s="1"/>
      <x:c r="J31" s="1"/>
      <x:c r="K31" s="1"/>
      <x:c r="L31" s="1"/>
      <x:c r="M31" s="1"/>
      <x:c r="N31" s="1" t="n">
        <x:v>242</x:v>
      </x:c>
    </x:row>
    <x:row r="32">
      <x:c r="A32" s="1" t="str">
        <x:v>2011-07</x:v>
      </x:c>
      <x:c r="B32" s="1" t="n">
        <x:v>188</x:v>
      </x:c>
      <x:c r="C32" s="1" t="n">
        <x:v>34</x:v>
      </x:c>
      <x:c r="D32" s="1" t="n">
        <x:v>39</x:v>
      </x:c>
      <x:c r="E32" s="1" t="n">
        <x:v>42</x:v>
      </x:c>
      <x:c r="F32" s="1" t="n">
        <x:v>51</x:v>
      </x:c>
      <x:c r="G32" s="1"/>
      <x:c r="H32" s="1"/>
      <x:c r="I32" s="1"/>
      <x:c r="J32" s="1"/>
      <x:c r="K32" s="1"/>
      <x:c r="L32" s="1"/>
      <x:c r="M32" s="1"/>
      <x:c r="N32" s="1" t="n">
        <x:v>188</x:v>
      </x:c>
    </x:row>
    <x:row r="33">
      <x:c r="A33" s="1" t="str">
        <x:v>2011-08</x:v>
      </x:c>
      <x:c r="B33" s="1" t="n">
        <x:v>169</x:v>
      </x:c>
      <x:c r="C33" s="1" t="n">
        <x:v>35</x:v>
      </x:c>
      <x:c r="D33" s="1" t="n">
        <x:v>42</x:v>
      </x:c>
      <x:c r="E33" s="1" t="n">
        <x:v>41</x:v>
      </x:c>
      <x:c r="F33" s="1"/>
      <x:c r="G33" s="1"/>
      <x:c r="H33" s="1"/>
      <x:c r="I33" s="1"/>
      <x:c r="J33" s="1"/>
      <x:c r="K33" s="1"/>
      <x:c r="L33" s="1"/>
      <x:c r="M33" s="1"/>
      <x:c r="N33" s="1" t="n">
        <x:v>169</x:v>
      </x:c>
    </x:row>
    <x:row r="34">
      <x:c r="A34" s="1" t="str">
        <x:v>2011-09</x:v>
      </x:c>
      <x:c r="B34" s="1" t="n">
        <x:v>299</x:v>
      </x:c>
      <x:c r="C34" s="1" t="n">
        <x:v>70</x:v>
      </x:c>
      <x:c r="D34" s="1" t="n">
        <x:v>90</x:v>
      </x:c>
      <x:c r="E34" s="1"/>
      <x:c r="F34" s="1"/>
      <x:c r="G34" s="1"/>
      <x:c r="H34" s="1"/>
      <x:c r="I34" s="1"/>
      <x:c r="J34" s="1"/>
      <x:c r="K34" s="1"/>
      <x:c r="L34" s="1"/>
      <x:c r="M34" s="1"/>
      <x:c r="N34" s="1" t="n">
        <x:v>299</x:v>
      </x:c>
    </x:row>
    <x:row r="35">
      <x:c r="A35" s="1" t="str">
        <x:v>2011-10</x:v>
      </x:c>
      <x:c r="B35" s="1" t="n">
        <x:v>358</x:v>
      </x:c>
      <x:c r="C35" s="1" t="n">
        <x:v>86</x:v>
      </x:c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 t="n">
        <x:v>358</x:v>
      </x:c>
    </x:row>
    <x:row r="36">
      <x:c r="A36" s="1" t="str">
        <x:v>2011-11</x:v>
      </x:c>
      <x:c r="B36" s="1" t="n">
        <x:v>323</x:v>
      </x:c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 t="n">
        <x:v>323</x:v>
      </x:c>
    </x:row>
  </x:sheetData>
  <x:conditionalFormatting sqref="B7:M18">
    <x:cfRule type="colorScale" priority="1">
      <x:colorScale>
        <x:cfvo type="min"/>
        <x:cfvo type="percentile" val="50"/>
        <x:cfvo type="max"/>
        <x:color rgb="FFF2F6FA"/>
        <x:color rgb="FFA9CDD8"/>
        <x:color rgb="FF245D82"/>
      </x:colorScale>
    </x:cfRule>
    <x:cfRule type="cellIs" dxfId="0" priority="2" operator="greaterThan">
      <x:formula>0.55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</x:row>
    <x:row r="2" ht="23" customHeight="1">
      <x:c r="A2" s="2" t="str">
        <x:v>Source reconciliation and data quality</x:v>
      </x:c>
      <x:c r="B2" s="1"/>
      <x:c r="C2" s="1"/>
      <x:c r="D2" s="1"/>
      <x:c r="E2" s="1"/>
      <x:c r="F2" s="1"/>
      <x:c r="G2" s="1"/>
      <x:c r="H2" s="1"/>
    </x:row>
    <x:row r="3" ht="23" customHeight="1">
      <x:c r="A3" s="1" t="str">
        <x:v>Source: Chen (2015), UCI Online Retail, CC BY 4.0. https://doi.org/10.24432/C5BW33</x:v>
      </x:c>
      <x:c r="B3" s="1"/>
      <x:c r="C3" s="1"/>
      <x:c r="D3" s="1"/>
      <x:c r="E3" s="1"/>
      <x:c r="F3" s="1"/>
      <x:c r="G3" s="1"/>
      <x:c r="H3" s="1"/>
    </x:row>
    <x:row r="4" ht="23" customHeight="1">
      <x:c r="A4" s="1"/>
      <x:c r="B4" s="1"/>
      <x:c r="C4" s="1"/>
      <x:c r="D4" s="1"/>
      <x:c r="E4" s="1"/>
      <x:c r="F4" s="1"/>
      <x:c r="G4" s="1"/>
      <x:c r="H4" s="1"/>
    </x:row>
    <x:row r="5" ht="32" customHeight="1">
      <x:c r="A5" s="5" t="str">
        <x:v>Classification</x:v>
      </x:c>
      <x:c r="B5" s="5" t="str">
        <x:v>Source rows</x:v>
      </x:c>
      <x:c r="C5" s="5" t="str">
        <x:v>Signed GBP</x:v>
      </x:c>
      <x:c r="D5" s="1"/>
      <x:c r="E5" s="1"/>
      <x:c r="F5" s="1"/>
      <x:c r="G5" s="1"/>
      <x:c r="H5" s="1"/>
    </x:row>
    <x:row r="6" ht="23" customHeight="1">
      <x:c r="A6" s="1" t="str">
        <x:v>cancellation</x:v>
      </x:c>
      <x:c r="B6" s="8" t="n">
        <x:v>9251</x:v>
      </x:c>
      <x:c r="C6" s="6" t="n">
        <x:v>-893979.73</x:v>
      </x:c>
      <x:c r="D6" s="1"/>
      <x:c r="E6" s="1"/>
      <x:c r="F6" s="1"/>
      <x:c r="G6" s="1"/>
      <x:c r="H6" s="1"/>
    </x:row>
    <x:row r="7" ht="23" customHeight="1">
      <x:c r="A7" s="1" t="str">
        <x:v>duplicate</x:v>
      </x:c>
      <x:c r="B7" s="8" t="n">
        <x:v>5268</x:v>
      </x:c>
      <x:c r="C7" s="6" t="n">
        <x:v>21740.98</x:v>
      </x:c>
      <x:c r="D7" s="1"/>
      <x:c r="E7" s="1"/>
      <x:c r="F7" s="1"/>
      <x:c r="G7" s="1"/>
      <x:c r="H7" s="1"/>
    </x:row>
    <x:row r="8" ht="23" customHeight="1">
      <x:c r="A8" s="1" t="str">
        <x:v>nonpositive_price</x:v>
      </x:c>
      <x:c r="B8" s="8" t="n">
        <x:v>2512</x:v>
      </x:c>
      <x:c r="C8" s="6" t="n">
        <x:v>-22124.12</x:v>
      </x:c>
      <x:c r="D8" s="1"/>
      <x:c r="E8" s="1"/>
      <x:c r="F8" s="1"/>
      <x:c r="G8" s="1"/>
      <x:c r="H8" s="1"/>
    </x:row>
    <x:row r="9" ht="23" customHeight="1">
      <x:c r="A9" s="1" t="str">
        <x:v>sale</x:v>
      </x:c>
      <x:c r="B9" s="8" t="n">
        <x:v>524878</x:v>
      </x:c>
      <x:c r="C9" s="6" t="n">
        <x:v>10642110.804</x:v>
      </x:c>
      <x:c r="D9" s="1"/>
      <x:c r="E9" s="1"/>
      <x:c r="F9" s="1"/>
      <x:c r="G9" s="1"/>
      <x:c r="H9" s="1"/>
    </x:row>
    <x:row r="10" ht="23" customHeight="1">
      <x:c r="A10" s="1"/>
      <x:c r="B10" s="8"/>
      <x:c r="C10" s="6"/>
      <x:c r="D10" s="1"/>
      <x:c r="E10" s="1"/>
      <x:c r="F10" s="1"/>
      <x:c r="G10" s="1"/>
      <x:c r="H10" s="1"/>
    </x:row>
    <x:row r="11" ht="23" customHeight="1">
      <x:c r="A11" s="1"/>
      <x:c r="B11" s="8"/>
      <x:c r="C11" s="6"/>
      <x:c r="D11" s="1"/>
      <x:c r="E11" s="1"/>
      <x:c r="F11" s="1"/>
      <x:c r="G11" s="1"/>
      <x:c r="H11" s="1"/>
    </x:row>
    <x:row r="12" ht="23" customHeight="1">
      <x:c r="A12" s="1" t="str">
        <x:v>Classified total</x:v>
      </x:c>
      <x:c r="B12" s="8" t="n">
        <x:f>SUM(B6:B10)</x:f>
        <x:v>541909</x:v>
      </x:c>
      <x:c r="C12" s="6" t="n">
        <x:f>SUM(C6:C10)</x:f>
        <x:v>9747747.934</x:v>
      </x:c>
      <x:c r="D12" s="1"/>
      <x:c r="E12" s="1"/>
      <x:c r="F12" s="1"/>
      <x:c r="G12" s="1"/>
      <x:c r="H12" s="1"/>
    </x:row>
    <x:row r="13" ht="23" customHeight="1">
      <x:c r="A13" s="1" t="str">
        <x:v>Raw source total</x:v>
      </x:c>
      <x:c r="B13" s="8" t="n">
        <x:v>541909</x:v>
      </x:c>
      <x:c r="C13" s="6" t="n">
        <x:v>9747747.934</x:v>
      </x:c>
      <x:c r="D13" s="1"/>
      <x:c r="E13" s="1"/>
      <x:c r="F13" s="1"/>
      <x:c r="G13" s="1"/>
      <x:c r="H13" s="1"/>
    </x:row>
    <x:row r="14" ht="23" customHeight="1">
      <x:c r="A14" s="1" t="str">
        <x:v>Reconciliation difference</x:v>
      </x:c>
      <x:c r="B14" s="8" t="n">
        <x:f>B12-B13</x:f>
        <x:v>0</x:v>
      </x:c>
      <x:c r="C14" s="6" t="n">
        <x:f>C12-C13</x:f>
        <x:v>0</x:v>
      </x:c>
      <x:c r="D14" s="1"/>
      <x:c r="E14" s="1"/>
      <x:c r="F14" s="1"/>
      <x:c r="G14" s="1"/>
      <x:c r="H14" s="1"/>
    </x:row>
    <x:row r="15" ht="23" customHeight="1">
      <x:c r="A15" s="1"/>
      <x:c r="B15" s="1"/>
      <x:c r="C15" s="1"/>
      <x:c r="D15" s="1"/>
      <x:c r="E15" s="1"/>
      <x:c r="F15" s="1"/>
      <x:c r="G15" s="1"/>
      <x:c r="H15" s="1"/>
    </x:row>
    <x:row r="16" ht="23" customHeight="1">
      <x:c r="A16" s="1"/>
      <x:c r="B16" s="1"/>
      <x:c r="C16" s="1"/>
      <x:c r="D16" s="1"/>
      <x:c r="E16" s="1"/>
      <x:c r="F16" s="1"/>
      <x:c r="G16" s="1"/>
      <x:c r="H16" s="1"/>
    </x:row>
    <x:row r="17" ht="23" customHeight="1">
      <x:c r="A17" s="1" t="str">
        <x:v>Missing customer ID rows</x:v>
      </x:c>
      <x:c r="B17" s="8" t="n">
        <x:v>135080</x:v>
      </x:c>
      <x:c r="C17" s="1"/>
      <x:c r="D17" s="1"/>
      <x:c r="E17" s="1"/>
      <x:c r="F17" s="1"/>
      <x:c r="G17" s="1"/>
      <x:c r="H17" s="1"/>
    </x:row>
    <x:row r="18" ht="23" customHeight="1">
      <x:c r="A18" s="1" t="str">
        <x:v>Missing description rows</x:v>
      </x:c>
      <x:c r="B18" s="8" t="n">
        <x:v>1454</x:v>
      </x:c>
      <x:c r="C18" s="1"/>
      <x:c r="D18" s="1"/>
      <x:c r="E18" s="1"/>
      <x:c r="F18" s="1"/>
      <x:c r="G18" s="1"/>
      <x:c r="H18" s="1"/>
    </x:row>
    <x:row r="19" ht="23" customHeight="1">
      <x:c r="A19" s="1" t="str">
        <x:v>Exact duplicate rows</x:v>
      </x:c>
      <x:c r="B19" s="8" t="n">
        <x:v>5268</x:v>
      </x:c>
      <x:c r="C19" s="1"/>
      <x:c r="D19" s="1"/>
      <x:c r="E19" s="1"/>
      <x:c r="F19" s="1"/>
      <x:c r="G19" s="1"/>
      <x:c r="H19" s="1"/>
    </x:row>
    <x:row r="20" ht="23" customHeight="1">
      <x:c r="A20" s="1"/>
      <x:c r="B20" s="1"/>
      <x:c r="C20" s="1"/>
      <x:c r="D20" s="1"/>
      <x:c r="E20" s="1"/>
      <x:c r="F20" s="1"/>
      <x:c r="G20" s="1"/>
      <x:c r="H20" s="1"/>
    </x:row>
    <x:row r="21" ht="23" customHeight="1">
      <x:c r="A21" s="1" t="str">
        <x:v>Exact duplicate removal is an assumption, not proof of erroneous transactions. Raw records are retained.</x:v>
      </x:c>
      <x:c r="B21" s="1"/>
      <x:c r="C21" s="1"/>
      <x:c r="D21" s="1"/>
      <x:c r="E21" s="1"/>
      <x:c r="F21" s="1"/>
      <x:c r="G21" s="1"/>
      <x:c r="H21" s="1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</x:row>
    <x:row r="23" ht="23" customHeight="1">
      <x:c r="A23" s="1" t="str">
        <x:v>Nonpositive prices and other adjustments remain in this audit but are excluded from sales measures.</x:v>
      </x:c>
      <x:c r="B23" s="1"/>
      <x:c r="C23" s="1"/>
      <x:c r="D23" s="1"/>
      <x:c r="E23" s="1"/>
      <x:c r="F23" s="1"/>
      <x:c r="G23" s="1"/>
      <x:c r="H23" s="1"/>
    </x:row>
    <x:row r="24" ht="23" customHeight="1">
      <x:c r="A24" s="1"/>
      <x:c r="B24" s="1"/>
      <x:c r="C24" s="1"/>
      <x:c r="D24" s="1"/>
      <x:c r="E24" s="1"/>
      <x:c r="F24" s="1"/>
      <x:c r="G24" s="1"/>
      <x:c r="H24" s="1"/>
    </x:row>
    <x:row r="25" ht="23" customHeight="1">
      <x:c r="A25" s="1"/>
      <x:c r="B25" s="1"/>
      <x:c r="C25" s="1"/>
      <x:c r="D25" s="1"/>
      <x:c r="E25" s="1"/>
      <x:c r="F25" s="1"/>
      <x:c r="G25" s="1"/>
      <x:c r="H25" s="1"/>
    </x:row>
  </x:sheetData>
  <x:pageMargins left="0.7" right="0.7" top="0.75" bottom="0.75" header="0.3" footer="0.3"/>
</x:worksheet>
</file>