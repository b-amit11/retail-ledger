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drawings/charts/chart1.xml" ContentType="application/vnd.openxmlformats-officedocument.drawingml.chart+xml"/>
  <ns0:Override PartName="/xl/worksheets/sheet2.xml" ContentType="application/vnd.openxmlformats-officedocument.spreadsheetml.worksheet+xml"/>
  <ns0:Override PartName="/xl/tables/table1.xml" ContentType="application/vnd.openxmlformats-officedocument.spreadsheetml.table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tables/table2.xml" ContentType="application/vnd.openxmlformats-officedocument.spreadsheetml.table+xml"/>
  <ns0:Override PartName="/xl/worksheets/sheet7.xml" ContentType="application/vnd.openxmlformats-officedocument.spreadsheetml.worksheet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d736b352646f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Monthly" sheetId="1" ns1:id="Rdd19136710094432"/>
    <ns0:sheet name="Markets" sheetId="2" ns1:id="R962983c78b87430b"/>
    <ns0:sheet name="Cohorts" sheetId="3" ns1:id="Ree8b931dd566428e"/>
    <ns0:sheet name="Audit" sheetId="4" ns1:id="R52ea1750c61b43bf"/>
    <ns0:sheet name="Explore" sheetId="5" ns1:id="R3a222f5746854ced"/>
    <ns0:sheet name="CountryMonth" sheetId="6" ns1:id="Rabaad7c37325471e"/>
    <ns0:sheet name="Country Pivot" sheetId="7" ns1:id="R5469b428793e4569"/>
  </ns0:sheets>
  <ns0:pivotCaches>
    <ns0:pivotCache cacheId="1" ns1:id="rIdRetailPivotCache"/>
  </ns0:pivotCach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£&quot;#,##0.00;(&quot;£&quot;#,##0.00)"/>
    <x:numFmt numFmtId="201" formatCode="0.0%"/>
    <x:numFmt numFmtId="202" formatCode="#,##0"/>
    <x:numFmt numFmtId="203" formatCode="0%"/>
  </x:numFmts>
  <x:fonts count="7">
    <x:font>
      <x:sz val="11"/>
      <x:name val="Carlito"/>
    </x:font>
    <x:font>
      <x:sz val="10"/>
      <x:color rgb="FF173047"/>
      <x:name val="Arial"/>
    </x:font>
    <x:font>
      <x:b/>
      <x:sz val="15"/>
      <x:color rgb="FF173047"/>
      <x:name val="Arial"/>
    </x:font>
    <x:font>
      <x:b/>
      <x:sz val="10"/>
      <x:color rgb="FFFFFFFF"/>
      <x:name val="Arial"/>
    </x:font>
    <x:font>
      <x:sz val="11"/>
      <x:color rgb="FF173047"/>
      <x:name val="Arial"/>
    </x:font>
    <x:font>
      <x:b/>
      <x:sz val="11"/>
      <x:color rgb="FFFFFFFF"/>
      <x:name val="Arial"/>
    </x:font>
    <x:font>
      <x:b/>
      <x:sz val="16"/>
      <x:color rgb="FF17304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D6B"/>
      </x:patternFill>
    </x:fill>
    <x:fill>
      <x:patternFill patternType="solid">
        <x:fgColor rgb="FFFFF0D4"/>
      </x:patternFill>
    </x:fill>
    <x:fill>
      <x:patternFill patternType="solid">
        <x:fgColor rgb="FF244D6B"/>
      </x:patternFill>
    </x:fill>
    <x:fill>
      <x:patternFill patternType="solid">
        <x:fgColor rgb="FFFFF0D4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0" fillId="2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5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  <x:dxfs count="1">
    <x:dxf>
      <x:font>
        <x:color rgb="FFFFFFFF"/>
      </x:font>
    </x:dxf>
  </x:dxf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6da198762f02491e" /><ns0:Relationship Type="http://schemas.openxmlformats.org/officeDocument/2006/relationships/theme" Target="/xl/theme/theme1.xml" Id="R01273717c24e4148" /><ns0:Relationship Type="http://schemas.openxmlformats.org/officeDocument/2006/relationships/sharedStrings" Target="/xl/sharedStrings.xml" Id="R0c678242e4e74e90" /><ns0:Relationship Type="http://schemas.openxmlformats.org/officeDocument/2006/relationships/worksheet" Target="/xl/worksheets/sheet1.xml" Id="Rdd19136710094432" /><ns0:Relationship Type="http://schemas.openxmlformats.org/officeDocument/2006/relationships/worksheet" Target="/xl/worksheets/sheet2.xml" Id="R962983c78b87430b" /><ns0:Relationship Type="http://schemas.openxmlformats.org/officeDocument/2006/relationships/worksheet" Target="/xl/worksheets/sheet3.xml" Id="Ree8b931dd566428e" /><ns0:Relationship Type="http://schemas.openxmlformats.org/officeDocument/2006/relationships/worksheet" Target="/xl/worksheets/sheet4.xml" Id="R52ea1750c61b43bf" /><ns0:Relationship Type="http://schemas.openxmlformats.org/officeDocument/2006/relationships/worksheet" Target="/xl/worksheets/sheet5.xml" Id="R3a222f5746854ced" /><ns0:Relationship Type="http://schemas.openxmlformats.org/officeDocument/2006/relationships/worksheet" Target="/xl/worksheets/sheet6.xml" Id="Rabaad7c37325471e" /><ns0:Relationship Type="http://schemas.openxmlformats.org/officeDocument/2006/relationships/worksheet" Target="/xl/worksheets/sheet7.xml" Id="R5469b428793e4569" /><ns0:Relationship Id="rIdRetailPivotCache" Type="http://schemas.openxmlformats.org/officeDocument/2006/relationships/pivotCacheDefinition" Target="pivotCache/pivotCacheDefinition1.xml" /></ns0: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4e56d3365440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transaction value — complete months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GBP</c:v>
          </c:tx>
          <c:spPr>
            <a:ln xmlns:a="http://schemas.openxmlformats.org/drawingml/2006/main" w="19050">
              <a:solidFill>
                <a:srgbClr val="255B81"/>
              </a:solidFill>
              <a:prstDash val="solid"/>
            </a:ln>
          </c:spPr>
          <c:marker>
            <c:symbol val="none"/>
          </c:marker>
          <c:cat>
            <c:strRef>
              <c:f>'Monthly'!$A$11:$A$22</c:f>
              <c:strCache>
                <c:ptCount val="0"/>
              </c:strCache>
            </c:strRef>
          </c:cat>
          <c:val>
            <c:numRef>
              <c:f>'Monthly'!$D$11:$D$22</c:f>
              <c:numCache>
                <c:formatCode>"£"#,##0.00;("£"#,##0.00)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4e56d3365440ef"/>
        </a:graphicData>
      </a:graphic>
    </xdr:graphicFrame>
    <xdr:clientData/>
  </xdr:twoCellAnchor>
</xdr:wsDr>
</file>

<file path=xl/pivotCache/_rels/pivotCacheDefinition1.xml.rels><?xml version='1.0' encoding='utf-8'?>
<ns0:Relationships xmlns:ns0="http://schemas.openxmlformats.org/package/2006/relationships"><ns0:Relationship Id="rId1" Type="http://schemas.openxmlformats.org/officeDocument/2006/relationships/pivotCacheRecords" Target="pivotCacheRecords1.xml" /></ns0:Relationships>
</file>

<file path=xl/pivotCache/pivotCacheDefinition1.xml><?xml version="1.0" encoding="utf-8"?>
<ns0:pivotCacheDefinition xmlns:ns0="http://schemas.openxmlformats.org/spreadsheetml/2006/main" xmlns:ns1="http://schemas.openxmlformats.org/officeDocument/2006/relationships" ns1:id="rId1" recordCount="314" saveData="1" refreshOnLoad="0" enableRefresh="1" createdVersion="6" refreshedVersion="6" minRefreshableVersion="3">
  <ns0:cacheSource type="worksheet">
    <ns0:worksheetSource name="CountryMonthData"/>
  </ns0:cacheSource>
  <ns0:cacheFields count="7">
    <ns0:cacheField name="Month" numFmtId="0">
      <ns0:sharedItems count="13" containsString="1" containsNonDate="1">
        <ns0:s v="2010-12"/>
        <ns0:s v="2011-01"/>
        <ns0:s v="2011-02"/>
        <ns0:s v="2011-03"/>
        <ns0:s v="2011-04"/>
        <ns0:s v="2011-05"/>
        <ns0:s v="2011-06"/>
        <ns0:s v="2011-07"/>
        <ns0:s v="2011-08"/>
        <ns0:s v="2011-09"/>
        <ns0:s v="2011-10"/>
        <ns0:s v="2011-11"/>
        <ns0:s v="2011-12"/>
      </ns0:sharedItems>
    </ns0:cacheField>
    <ns0:cacheField name="MonthKey" numFmtId="0">
      <ns0:sharedItems count="0" containsString="0" containsNumber="1" containsInteger="1" containsSemiMixedTypes="0" containsNonDate="1"/>
    </ns0:cacheField>
    <ns0:cacheField name="Country" numFmtId="0">
      <ns0:sharedItems count="38" containsString="1" containsNonDate="1">
        <ns0:s v="Australia"/>
        <ns0:s v="Austria"/>
        <ns0:s v="Bahrain"/>
        <ns0:s v="Belgium"/>
        <ns0:s v="Brazil"/>
        <ns0:s v="Canada"/>
        <ns0:s v="Channel Islands"/>
        <ns0:s v="Cyprus"/>
        <ns0:s v="Czech Republic"/>
        <ns0:s v="Denmark"/>
        <ns0:s v="EIRE"/>
        <ns0:s v="European Community"/>
        <ns0:s v="Finland"/>
        <ns0:s v="France"/>
        <ns0:s v="Germany"/>
        <ns0:s v="Greece"/>
        <ns0:s v="Hong Kong"/>
        <ns0:s v="Iceland"/>
        <ns0:s v="Israel"/>
        <ns0:s v="Italy"/>
        <ns0:s v="Japan"/>
        <ns0:s v="Lebanon"/>
        <ns0:s v="Lithuania"/>
        <ns0:s v="Malta"/>
        <ns0:s v="Netherlands"/>
        <ns0:s v="Norway"/>
        <ns0:s v="Poland"/>
        <ns0:s v="Portugal"/>
        <ns0:s v="RSA"/>
        <ns0:s v="Saudi Arabia"/>
        <ns0:s v="Singapore"/>
        <ns0:s v="Spain"/>
        <ns0:s v="Sweden"/>
        <ns0:s v="Switzerland"/>
        <ns0:s v="United Arab Emirates"/>
        <ns0:s v="United Kingdom"/>
        <ns0:s v="Unspecified"/>
        <ns0:s v="USA"/>
      </ns0:sharedItems>
    </ns0:cacheField>
    <ns0:cacheField name="GrossGBP" numFmtId="0">
      <ns0:sharedItems count="0" containsString="0" containsNumber="1" containsInteger="0" containsSemiMixedTypes="0" containsNonDate="1"/>
    </ns0:cacheField>
    <ns0:cacheField name="CancelledGBP" numFmtId="0">
      <ns0:sharedItems count="0" containsString="0" containsNumber="1" containsInteger="0" containsSemiMixedTypes="0" containsNonDate="1"/>
    </ns0:cacheField>
    <ns0:cacheField name="NetGBP" numFmtId="0">
      <ns0:sharedItems count="0" containsString="0" containsNumber="1" containsInteger="0" containsSemiMixedTypes="0" containsNonDate="1"/>
    </ns0:cacheField>
    <ns0:cacheField name="SalesInvoices" numFmtId="0">
      <ns0:sharedItems count="0" containsString="0" containsNumber="1" containsInteger="1" containsSemiMixedTypes="0" containsNonDate="1"/>
    </ns0:cacheField>
  </ns0:cacheFields>
</ns0:pivotCacheDefinition>
</file>

<file path=xl/pivotCache/pivotCacheRecords1.xml><?xml version="1.0" encoding="utf-8"?>
<ns0:pivotCacheRecords xmlns:ns0="http://schemas.openxmlformats.org/spreadsheetml/2006/main" count="314">
  <ns0:r>
    <ns0:x v="0"/>
    <ns0:n v="201012"/>
    <ns0:x v="0"/>
    <ns0:n v="965.35"/>
    <ns0:n v="27.75"/>
    <ns0:n v="937.6"/>
    <ns0:n v="3"/>
  </ns0:r>
  <ns0:r>
    <ns0:x v="0"/>
    <ns0:n v="201012"/>
    <ns0:x v="1"/>
    <ns0:n v="277.2"/>
    <ns0:n v="20.16"/>
    <ns0:n v="257.04"/>
    <ns0:n v="1"/>
  </ns0:r>
  <ns0:r>
    <ns0:x v="0"/>
    <ns0:n v="201012"/>
    <ns0:x v="2"/>
    <ns0:n v="205.74"/>
    <ns0:n v="0"/>
    <ns0:n v="205.74"/>
    <ns0:n v="1"/>
  </ns0:r>
  <ns0:r>
    <ns0:x v="0"/>
    <ns0:n v="201012"/>
    <ns0:x v="3"/>
    <ns0:n v="1809.91"/>
    <ns0:n v="0"/>
    <ns0:n v="1809.91"/>
    <ns0:n v="5"/>
  </ns0:r>
  <ns0:r>
    <ns0:x v="0"/>
    <ns0:n v="201012"/>
    <ns0:x v="6"/>
    <ns0:n v="363.53"/>
    <ns0:n v="0"/>
    <ns0:n v="363.53"/>
    <ns0:n v="1"/>
  </ns0:r>
  <ns0:r>
    <ns0:x v="0"/>
    <ns0:n v="201012"/>
    <ns0:x v="7"/>
    <ns0:n v="1587.07"/>
    <ns0:n v="0"/>
    <ns0:n v="1587.07"/>
    <ns0:n v="1"/>
  </ns0:r>
  <ns0:r>
    <ns0:x v="0"/>
    <ns0:n v="201012"/>
    <ns0:x v="9"/>
    <ns0:n v="1281.5"/>
    <ns0:n v="0"/>
    <ns0:n v="1281.5"/>
    <ns0:n v="1"/>
  </ns0:r>
  <ns0:r>
    <ns0:x v="0"/>
    <ns0:n v="201012"/>
    <ns0:x v="10"/>
    <ns0:n v="10033.26"/>
    <ns0:n v="1003.31"/>
    <ns0:n v="9029.95"/>
    <ns0:n v="17"/>
  </ns0:r>
  <ns0:r>
    <ns0:x v="0"/>
    <ns0:n v="201012"/>
    <ns0:x v="12"/>
    <ns0:n v="892.8"/>
    <ns0:n v="0"/>
    <ns0:n v="892.8"/>
    <ns0:n v="1"/>
  </ns0:r>
  <ns0:r>
    <ns0:x v="0"/>
    <ns0:n v="201012"/>
    <ns0:x v="13"/>
    <ns0:n v="9616.31"/>
    <ns0:n v="40.95"/>
    <ns0:n v="9575.36"/>
    <ns0:n v="21"/>
  </ns0:r>
  <ns0:r>
    <ns0:x v="0"/>
    <ns0:n v="201012"/>
    <ns0:x v="14"/>
    <ns0:n v="15205.74"/>
    <ns0:n v="678.3"/>
    <ns0:n v="14527.44"/>
    <ns0:n v="30"/>
  </ns0:r>
  <ns0:r>
    <ns0:x v="0"/>
    <ns0:n v="201012"/>
    <ns0:x v="17"/>
    <ns0:n v="711.79"/>
    <ns0:n v="0"/>
    <ns0:n v="711.79"/>
    <ns0:n v="1"/>
  </ns0:r>
  <ns0:r>
    <ns0:x v="0"/>
    <ns0:n v="201012"/>
    <ns0:x v="18"/>
    <ns0:n v="0"/>
    <ns0:n v="227.44"/>
    <ns0:n v="-227.44"/>
    <ns0:n v="0"/>
  </ns0:r>
  <ns0:r>
    <ns0:x v="0"/>
    <ns0:n v="201012"/>
    <ns0:x v="19"/>
    <ns0:n v="811.5"/>
    <ns0:n v="17"/>
    <ns0:n v="794.5"/>
    <ns0:n v="2"/>
  </ns0:r>
  <ns0:r>
    <ns0:x v="0"/>
    <ns0:n v="201012"/>
    <ns0:x v="20"/>
    <ns0:n v="7705.07"/>
    <ns0:n v="0"/>
    <ns0:n v="7705.07"/>
    <ns0:n v="3"/>
  </ns0:r>
  <ns0:r>
    <ns0:x v="0"/>
    <ns0:n v="201012"/>
    <ns0:x v="22"/>
    <ns0:n v="1661.06"/>
    <ns0:n v="0"/>
    <ns0:n v="1661.06"/>
    <ns0:n v="4"/>
  </ns0:r>
  <ns0:r>
    <ns0:x v="0"/>
    <ns0:n v="201012"/>
    <ns0:x v="24"/>
    <ns0:n v="8784.48"/>
    <ns0:n v="0"/>
    <ns0:n v="8784.48"/>
    <ns0:n v="3"/>
  </ns0:r>
  <ns0:r>
    <ns0:x v="0"/>
    <ns0:n v="201012"/>
    <ns0:x v="25"/>
    <ns0:n v="3787.12"/>
    <ns0:n v="0"/>
    <ns0:n v="3787.12"/>
    <ns0:n v="2"/>
  </ns0:r>
  <ns0:r>
    <ns0:x v="0"/>
    <ns0:n v="201012"/>
    <ns0:x v="26"/>
    <ns0:n v="248.16"/>
    <ns0:n v="0"/>
    <ns0:n v="248.16"/>
    <ns0:n v="1"/>
  </ns0:r>
  <ns0:r>
    <ns0:x v="0"/>
    <ns0:n v="201012"/>
    <ns0:x v="27"/>
    <ns0:n v="2439.97"/>
    <ns0:n v="59.85"/>
    <ns0:n v="2380.12"/>
    <ns0:n v="6"/>
  </ns0:r>
  <ns0:r>
    <ns0:x v="0"/>
    <ns0:n v="201012"/>
    <ns0:x v="31"/>
    <ns0:n v="1843.73"/>
    <ns0:n v="0"/>
    <ns0:n v="1843.73"/>
    <ns0:n v="4"/>
  </ns0:r>
  <ns0:r>
    <ns0:x v="0"/>
    <ns0:n v="201012"/>
    <ns0:x v="32"/>
    <ns0:n v="3834.3"/>
    <ns0:n v="1188"/>
    <ns0:n v="2646.3"/>
    <ns0:n v="2"/>
  </ns0:r>
  <ns0:r>
    <ns0:x v="0"/>
    <ns0:n v="201012"/>
    <ns0:x v="33"/>
    <ns0:n v="1304.92"/>
    <ns0:n v="0"/>
    <ns0:n v="1304.92"/>
    <ns0:n v="2"/>
  </ns0:r>
  <ns0:r>
    <ns0:x v="0"/>
    <ns0:n v="201012"/>
    <ns0:x v="35"/>
    <ns0:n v="746082.22"/>
    <ns0:n v="71466.36"/>
    <ns0:n v="674615.86"/>
    <ns0:n v="1447"/>
  </ns0:r>
  <ns0:r>
    <ns0:x v="1"/>
    <ns0:n v="201101"/>
    <ns0:x v="0"/>
    <ns0:n v="9017.71"/>
    <ns0:n v="0"/>
    <ns0:n v="9017.71"/>
    <ns0:n v="9"/>
  </ns0:r>
  <ns0:r>
    <ns0:x v="1"/>
    <ns0:n v="201101"/>
    <ns0:x v="2"/>
    <ns0:n v="0"/>
    <ns0:n v="205.74"/>
    <ns0:n v="-205.74"/>
    <ns0:n v="0"/>
  </ns0:r>
  <ns0:r>
    <ns0:x v="1"/>
    <ns0:n v="201101"/>
    <ns0:x v="3"/>
    <ns0:n v="1200.2"/>
    <ns0:n v="46.15"/>
    <ns0:n v="1154.05"/>
    <ns0:n v="3"/>
  </ns0:r>
  <ns0:r>
    <ns0:x v="1"/>
    <ns0:n v="201101"/>
    <ns0:x v="6"/>
    <ns0:n v="675.58"/>
    <ns0:n v="30.5"/>
    <ns0:n v="645.08"/>
    <ns0:n v="1"/>
  </ns0:r>
  <ns0:r>
    <ns0:x v="1"/>
    <ns0:n v="201101"/>
    <ns0:x v="7"/>
    <ns0:n v="547.5"/>
    <ns0:n v="0"/>
    <ns0:n v="547.5"/>
    <ns0:n v="1"/>
  </ns0:r>
  <ns0:r>
    <ns0:x v="1"/>
    <ns0:n v="201101"/>
    <ns0:x v="10"/>
    <ns0:n v="21904.19"/>
    <ns0:n v="247.67"/>
    <ns0:n v="21656.52"/>
    <ns0:n v="7"/>
  </ns0:r>
  <ns0:r>
    <ns0:x v="1"/>
    <ns0:n v="201101"/>
    <ns0:x v="12"/>
    <ns0:n v="889.02"/>
    <ns0:n v="0"/>
    <ns0:n v="889.02"/>
    <ns0:n v="2"/>
  </ns0:r>
  <ns0:r>
    <ns0:x v="1"/>
    <ns0:n v="201101"/>
    <ns0:x v="13"/>
    <ns0:n v="17740.12"/>
    <ns0:n v="237.05"/>
    <ns0:n v="17503.07"/>
    <ns0:n v="29"/>
  </ns0:r>
  <ns0:r>
    <ns0:x v="1"/>
    <ns0:n v="201101"/>
    <ns0:x v="14"/>
    <ns0:n v="16880.84"/>
    <ns0:n v="459.41"/>
    <ns0:n v="16421.43"/>
    <ns0:n v="31"/>
  </ns0:r>
  <ns0:r>
    <ns0:x v="1"/>
    <ns0:n v="201101"/>
    <ns0:x v="15"/>
    <ns0:n v="2661.24"/>
    <ns0:n v="0"/>
    <ns0:n v="2661.24"/>
    <ns0:n v="1"/>
  </ns0:r>
  <ns0:r>
    <ns0:x v="1"/>
    <ns0:n v="201101"/>
    <ns0:x v="16"/>
    <ns0:n v="2230.96"/>
    <ns0:n v="0"/>
    <ns0:n v="2230.96"/>
    <ns0:n v="1"/>
  </ns0:r>
  <ns0:r>
    <ns0:x v="1"/>
    <ns0:n v="201101"/>
    <ns0:x v="17"/>
    <ns0:n v="475.39"/>
    <ns0:n v="0"/>
    <ns0:n v="475.39"/>
    <ns0:n v="1"/>
  </ns0:r>
  <ns0:r>
    <ns0:x v="1"/>
    <ns0:n v="201101"/>
    <ns0:x v="18"/>
    <ns0:n v="379.84"/>
    <ns0:n v="0"/>
    <ns0:n v="379.84"/>
    <ns0:n v="1"/>
  </ns0:r>
  <ns0:r>
    <ns0:x v="1"/>
    <ns0:n v="201101"/>
    <ns0:x v="19"/>
    <ns0:n v="2402.51"/>
    <ns0:n v="41.15"/>
    <ns0:n v="2361.36"/>
    <ns0:n v="3"/>
  </ns0:r>
  <ns0:r>
    <ns0:x v="1"/>
    <ns0:n v="201101"/>
    <ns0:x v="20"/>
    <ns0:n v="0"/>
    <ns0:n v="109.8"/>
    <ns0:n v="-109.8"/>
    <ns0:n v="0"/>
  </ns0:r>
  <ns0:r>
    <ns0:x v="1"/>
    <ns0:n v="201101"/>
    <ns0:x v="21"/>
    <ns0:n v="1693.88"/>
    <ns0:n v="0"/>
    <ns0:n v="1693.88"/>
    <ns0:n v="1"/>
  </ns0:r>
  <ns0:r>
    <ns0:x v="1"/>
    <ns0:n v="201101"/>
    <ns0:x v="24"/>
    <ns0:n v="26611.16"/>
    <ns0:n v="0"/>
    <ns0:n v="26611.16"/>
    <ns0:n v="5"/>
  </ns0:r>
  <ns0:r>
    <ns0:x v="1"/>
    <ns0:n v="201101"/>
    <ns0:x v="26"/>
    <ns0:n v="613.22"/>
    <ns0:n v="0"/>
    <ns0:n v="613.22"/>
    <ns0:n v="1"/>
  </ns0:r>
  <ns0:r>
    <ns0:x v="1"/>
    <ns0:n v="201101"/>
    <ns0:x v="27"/>
    <ns0:n v="4055.71"/>
    <ns0:n v="57.6"/>
    <ns0:n v="3998.11"/>
    <ns0:n v="4"/>
  </ns0:r>
  <ns0:r>
    <ns0:x v="1"/>
    <ns0:n v="201101"/>
    <ns0:x v="30"/>
    <ns0:n v="2053.07"/>
    <ns0:n v="0"/>
    <ns0:n v="2053.07"/>
    <ns0:n v="1"/>
  </ns0:r>
  <ns0:r>
    <ns0:x v="1"/>
    <ns0:n v="201101"/>
    <ns0:x v="31"/>
    <ns0:n v="10086.09"/>
    <ns0:n v="2907.55"/>
    <ns0:n v="7178.54"/>
    <ns0:n v="8"/>
  </ns0:r>
  <ns0:r>
    <ns0:x v="1"/>
    <ns0:n v="201101"/>
    <ns0:x v="32"/>
    <ns0:n v="3486.32"/>
    <ns0:n v="40"/>
    <ns0:n v="3446.32"/>
    <ns0:n v="2"/>
  </ns0:r>
  <ns0:r>
    <ns0:x v="1"/>
    <ns0:n v="201101"/>
    <ns0:x v="33"/>
    <ns0:n v="4231.23"/>
    <ns0:n v="0"/>
    <ns0:n v="4231.23"/>
    <ns0:n v="3"/>
  </ns0:r>
  <ns0:r>
    <ns0:x v="1"/>
    <ns0:n v="201101"/>
    <ns0:x v="35"/>
    <ns0:n v="559975.83"/>
    <ns0:n v="126980.43"/>
    <ns0:n v="432995.4"/>
    <ns0:n v="971"/>
  </ns0:r>
  <ns0:r>
    <ns0:x v="2"/>
    <ns0:n v="201102"/>
    <ns0:x v="0"/>
    <ns0:n v="14695.42"/>
    <ns0:n v="67.95"/>
    <ns0:n v="14627.47"/>
    <ns0:n v="5"/>
  </ns0:r>
  <ns0:r>
    <ns0:x v="2"/>
    <ns0:n v="201102"/>
    <ns0:x v="1"/>
    <ns0:n v="518.36"/>
    <ns0:n v="0"/>
    <ns0:n v="518.36"/>
    <ns0:n v="2"/>
  </ns0:r>
  <ns0:r>
    <ns0:x v="2"/>
    <ns0:n v="201102"/>
    <ns0:x v="3"/>
    <ns0:n v="2181.07"/>
    <ns0:n v="19.75"/>
    <ns0:n v="2161.32"/>
    <ns0:n v="8"/>
  </ns0:r>
  <ns0:r>
    <ns0:x v="2"/>
    <ns0:n v="201102"/>
    <ns0:x v="6"/>
    <ns0:n v="1784.71"/>
    <ns0:n v="0"/>
    <ns0:n v="1784.71"/>
    <ns0:n v="1"/>
  </ns0:r>
  <ns0:r>
    <ns0:x v="2"/>
    <ns0:n v="201102"/>
    <ns0:x v="7"/>
    <ns0:n v="4334.24"/>
    <ns0:n v="320.69"/>
    <ns0:n v="4013.55"/>
    <ns0:n v="6"/>
  </ns0:r>
  <ns0:r>
    <ns0:x v="2"/>
    <ns0:n v="201102"/>
    <ns0:x v="8"/>
    <ns0:n v="549.26"/>
    <ns0:n v="0"/>
    <ns0:n v="549.26"/>
    <ns0:n v="1"/>
  </ns0:r>
  <ns0:r>
    <ns0:x v="2"/>
    <ns0:n v="201102"/>
    <ns0:x v="9"/>
    <ns0:n v="399.22"/>
    <ns0:n v="0"/>
    <ns0:n v="399.22"/>
    <ns0:n v="1"/>
  </ns0:r>
  <ns0:r>
    <ns0:x v="2"/>
    <ns0:n v="201102"/>
    <ns0:x v="10"/>
    <ns0:n v="12203.74"/>
    <ns0:n v="2574.6"/>
    <ns0:n v="9629.14"/>
    <ns0:n v="13"/>
  </ns0:r>
  <ns0:r>
    <ns0:x v="2"/>
    <ns0:n v="201102"/>
    <ns0:x v="12"/>
    <ns0:n v="205.16"/>
    <ns0:n v="0"/>
    <ns0:n v="205.16"/>
    <ns0:n v="1"/>
  </ns0:r>
  <ns0:r>
    <ns0:x v="2"/>
    <ns0:n v="201102"/>
    <ns0:x v="13"/>
    <ns0:n v="8515.96"/>
    <ns0:n v="77.05"/>
    <ns0:n v="8438.91"/>
    <ns0:n v="21"/>
  </ns0:r>
  <ns0:r>
    <ns0:x v="2"/>
    <ns0:n v="201102"/>
    <ns0:x v="14"/>
    <ns0:n v="9581.05"/>
    <ns0:n v="611.81"/>
    <ns0:n v="8969.24"/>
    <ns0:n v="19"/>
  </ns0:r>
  <ns0:r>
    <ns0:x v="2"/>
    <ns0:n v="201102"/>
    <ns0:x v="18"/>
    <ns0:n v="779.1"/>
    <ns0:n v="0"/>
    <ns0:n v="779.1"/>
    <ns0:n v="1"/>
  </ns0:r>
  <ns0:r>
    <ns0:x v="2"/>
    <ns0:n v="201102"/>
    <ns0:x v="19"/>
    <ns0:n v="256"/>
    <ns0:n v="4.5"/>
    <ns0:n v="251.5"/>
    <ns0:n v="1"/>
  </ns0:r>
  <ns0:r>
    <ns0:x v="2"/>
    <ns0:n v="201102"/>
    <ns0:x v="20"/>
    <ns0:n v="5780.81"/>
    <ns0:n v="0"/>
    <ns0:n v="5780.81"/>
    <ns0:n v="2"/>
  </ns0:r>
  <ns0:r>
    <ns0:x v="2"/>
    <ns0:n v="201102"/>
    <ns0:x v="24"/>
    <ns0:n v="23011.91"/>
    <ns0:n v="79.8"/>
    <ns0:n v="22932.11"/>
    <ns0:n v="5"/>
  </ns0:r>
  <ns0:r>
    <ns0:x v="2"/>
    <ns0:n v="201102"/>
    <ns0:x v="25"/>
    <ns0:n v="630.9"/>
    <ns0:n v="0"/>
    <ns0:n v="630.9"/>
    <ns0:n v="2"/>
  </ns0:r>
  <ns0:r>
    <ns0:x v="2"/>
    <ns0:n v="201102"/>
    <ns0:x v="26"/>
    <ns0:n v="604.05"/>
    <ns0:n v="0"/>
    <ns0:n v="604.05"/>
    <ns0:n v="2"/>
  </ns0:r>
  <ns0:r>
    <ns0:x v="2"/>
    <ns0:n v="201102"/>
    <ns0:x v="27"/>
    <ns0:n v="1213.9"/>
    <ns0:n v="0"/>
    <ns0:n v="1213.9"/>
    <ns0:n v="2"/>
  </ns0:r>
  <ns0:r>
    <ns0:x v="2"/>
    <ns0:n v="201102"/>
    <ns0:x v="29"/>
    <ns0:n v="145.92"/>
    <ns0:n v="0"/>
    <ns0:n v="145.92"/>
    <ns0:n v="1"/>
  </ns0:r>
  <ns0:r>
    <ns0:x v="2"/>
    <ns0:n v="201102"/>
    <ns0:x v="31"/>
    <ns0:n v="2114.5"/>
    <ns0:n v="20.8"/>
    <ns0:n v="2093.7"/>
    <ns0:n v="4"/>
  </ns0:r>
  <ns0:r>
    <ns0:x v="2"/>
    <ns0:n v="201102"/>
    <ns0:x v="32"/>
    <ns0:n v="509.5"/>
    <ns0:n v="0"/>
    <ns0:n v="509.5"/>
    <ns0:n v="1"/>
  </ns0:r>
  <ns0:r>
    <ns0:x v="2"/>
    <ns0:n v="201102"/>
    <ns0:x v="33"/>
    <ns0:n v="2654.92"/>
    <ns0:n v="12.25"/>
    <ns0:n v="2642.67"/>
    <ns0:n v="5"/>
  </ns0:r>
  <ns0:r>
    <ns0:x v="2"/>
    <ns0:n v="201102"/>
    <ns0:x v="34"/>
    <ns0:n v="889.24"/>
    <ns0:n v="0"/>
    <ns0:n v="889.24"/>
    <ns0:n v="1"/>
  </ns0:r>
  <ns0:r>
    <ns0:x v="2"/>
    <ns0:n v="201102"/>
    <ns0:x v="35"/>
    <ns0:n v="428986.62"/>
    <ns0:n v="21729.95"/>
    <ns0:n v="407256.67"/>
    <ns0:n v="995"/>
  </ns0:r>
  <ns0:r>
    <ns0:x v="3"/>
    <ns0:n v="201103"/>
    <ns0:x v="0"/>
    <ns0:n v="17223.99"/>
    <ns0:n v="168.7"/>
    <ns0:n v="17055.29"/>
    <ns0:n v="3"/>
  </ns0:r>
  <ns0:r>
    <ns0:x v="3"/>
    <ns0:n v="201103"/>
    <ns0:x v="1"/>
    <ns0:n v="1708.12"/>
    <ns0:n v="0"/>
    <ns0:n v="1708.12"/>
    <ns0:n v="2"/>
  </ns0:r>
  <ns0:r>
    <ns0:x v="3"/>
    <ns0:n v="201103"/>
    <ns0:x v="3"/>
    <ns0:n v="3351.98"/>
    <ns0:n v="18.4"/>
    <ns0:n v="3333.58"/>
    <ns0:n v="9"/>
  </ns0:r>
  <ns0:r>
    <ns0:x v="3"/>
    <ns0:n v="201103"/>
    <ns0:x v="5"/>
    <ns0:n v="140.54"/>
    <ns0:n v="0"/>
    <ns0:n v="140.54"/>
    <ns0:n v="1"/>
  </ns0:r>
  <ns0:r>
    <ns0:x v="3"/>
    <ns0:n v="201103"/>
    <ns0:x v="6"/>
    <ns0:n v="3509.33"/>
    <ns0:n v="0"/>
    <ns0:n v="3509.33"/>
    <ns0:n v="3"/>
  </ns0:r>
  <ns0:r>
    <ns0:x v="3"/>
    <ns0:n v="201103"/>
    <ns0:x v="7"/>
    <ns0:n v="938.39"/>
    <ns0:n v="0"/>
    <ns0:n v="938.39"/>
    <ns0:n v="1"/>
  </ns0:r>
  <ns0:r>
    <ns0:x v="3"/>
    <ns0:n v="201103"/>
    <ns0:x v="9"/>
    <ns0:n v="3978.99"/>
    <ns0:n v="0"/>
    <ns0:n v="3978.99"/>
    <ns0:n v="1"/>
  </ns0:r>
  <ns0:r>
    <ns0:x v="3"/>
    <ns0:n v="201103"/>
    <ns0:x v="10"/>
    <ns0:n v="22197.51"/>
    <ns0:n v="3414.28"/>
    <ns0:n v="18783.23"/>
    <ns0:n v="23"/>
  </ns0:r>
  <ns0:r>
    <ns0:x v="3"/>
    <ns0:n v="201103"/>
    <ns0:x v="12"/>
    <ns0:n v="5936.82"/>
    <ns0:n v="12.2"/>
    <ns0:n v="5924.62"/>
    <ns0:n v="5"/>
  </ns0:r>
  <ns0:r>
    <ns0:x v="3"/>
    <ns0:n v="201103"/>
    <ns0:x v="13"/>
    <ns0:n v="14584.95"/>
    <ns0:n v="72.65"/>
    <ns0:n v="14512.3"/>
    <ns0:n v="25"/>
  </ns0:r>
  <ns0:r>
    <ns0:x v="3"/>
    <ns0:n v="201103"/>
    <ns0:x v="14"/>
    <ns0:n v="14392.69"/>
    <ns0:n v="222.67"/>
    <ns0:n v="14170.02"/>
    <ns0:n v="32"/>
  </ns0:r>
  <ns0:r>
    <ns0:x v="3"/>
    <ns0:n v="201103"/>
    <ns0:x v="15"/>
    <ns0:n v="387.31"/>
    <ns0:n v="0"/>
    <ns0:n v="387.31"/>
    <ns0:n v="1"/>
  </ns0:r>
  <ns0:r>
    <ns0:x v="3"/>
    <ns0:n v="201103"/>
    <ns0:x v="16"/>
    <ns0:n v="2583.76"/>
    <ns0:n v="2583.76"/>
    <ns0:n v="0"/>
    <ns0:n v="1"/>
  </ns0:r>
  <ns0:r>
    <ns0:x v="3"/>
    <ns0:n v="201103"/>
    <ns0:x v="19"/>
    <ns0:n v="1806.81"/>
    <ns0:n v="27.9"/>
    <ns0:n v="1778.91"/>
    <ns0:n v="4"/>
  </ns0:r>
  <ns0:r>
    <ns0:x v="3"/>
    <ns0:n v="201103"/>
    <ns0:x v="20"/>
    <ns0:n v="48.9"/>
    <ns0:n v="122.56"/>
    <ns0:n v="-73.66"/>
    <ns0:n v="3"/>
  </ns0:r>
  <ns0:r>
    <ns0:x v="3"/>
    <ns0:n v="201103"/>
    <ns0:x v="24"/>
    <ns0:n v="22416.49"/>
    <ns0:n v="0"/>
    <ns0:n v="22416.49"/>
    <ns0:n v="8"/>
  </ns0:r>
  <ns0:r>
    <ns0:x v="3"/>
    <ns0:n v="201103"/>
    <ns0:x v="25"/>
    <ns0:n v="1265.31"/>
    <ns0:n v="960.63"/>
    <ns0:n v="304.68"/>
    <ns0:n v="4"/>
  </ns0:r>
  <ns0:r>
    <ns0:x v="3"/>
    <ns0:n v="201103"/>
    <ns0:x v="26"/>
    <ns0:n v="317.78"/>
    <ns0:n v="14.39"/>
    <ns0:n v="303.39"/>
    <ns0:n v="1"/>
  </ns0:r>
  <ns0:r>
    <ns0:x v="3"/>
    <ns0:n v="201103"/>
    <ns0:x v="27"/>
    <ns0:n v="2660.85"/>
    <ns0:n v="0"/>
    <ns0:n v="2660.85"/>
    <ns0:n v="5"/>
  </ns0:r>
  <ns0:r>
    <ns0:x v="3"/>
    <ns0:n v="201103"/>
    <ns0:x v="29"/>
    <ns0:n v="0"/>
    <ns0:n v="14.75"/>
    <ns0:n v="-14.75"/>
    <ns0:n v="0"/>
  </ns0:r>
  <ns0:r>
    <ns0:x v="3"/>
    <ns0:n v="201103"/>
    <ns0:x v="31"/>
    <ns0:n v="5363.15"/>
    <ns0:n v="36.5"/>
    <ns0:n v="5326.65"/>
    <ns0:n v="8"/>
  </ns0:r>
  <ns0:r>
    <ns0:x v="3"/>
    <ns0:n v="201103"/>
    <ns0:x v="32"/>
    <ns0:n v="4720.58"/>
    <ns0:n v="180"/>
    <ns0:n v="4540.58"/>
    <ns0:n v="3"/>
  </ns0:r>
  <ns0:r>
    <ns0:x v="3"/>
    <ns0:n v="201103"/>
    <ns0:x v="33"/>
    <ns0:n v="1870.23"/>
    <ns0:n v="0"/>
    <ns0:n v="1870.23"/>
    <ns0:n v="3"/>
  </ns0:r>
  <ns0:r>
    <ns0:x v="3"/>
    <ns0:n v="201103"/>
    <ns0:x v="35"/>
    <ns0:n v="584810.78"/>
    <ns0:n v="26351.89"/>
    <ns0:n v="558458.89"/>
    <ns0:n v="1308"/>
  </ns0:r>
  <ns0:r>
    <ns0:x v="4"/>
    <ns0:n v="201104"/>
    <ns0:x v="0"/>
    <ns0:n v="771.6"/>
    <ns0:n v="438.2"/>
    <ns0:n v="333.4"/>
    <ns0:n v="2"/>
  </ns0:r>
  <ns0:r>
    <ns0:x v="4"/>
    <ns0:n v="201104"/>
    <ns0:x v="1"/>
    <ns0:n v="680.78"/>
    <ns0:n v="0"/>
    <ns0:n v="680.78"/>
    <ns0:n v="2"/>
  </ns0:r>
  <ns0:r>
    <ns0:x v="4"/>
    <ns0:n v="201104"/>
    <ns0:x v="3"/>
    <ns0:n v="1989.48"/>
    <ns0:n v="35.33"/>
    <ns0:n v="1954.15"/>
    <ns0:n v="6"/>
  </ns0:r>
  <ns0:r>
    <ns0:x v="4"/>
    <ns0:n v="201104"/>
    <ns0:x v="4"/>
    <ns0:n v="1143.6"/>
    <ns0:n v="0"/>
    <ns0:n v="1143.6"/>
    <ns0:n v="1"/>
  </ns0:r>
  <ns0:r>
    <ns0:x v="4"/>
    <ns0:n v="201104"/>
    <ns0:x v="6"/>
    <ns0:n v="293"/>
    <ns0:n v="0"/>
    <ns0:n v="293"/>
    <ns0:n v="1"/>
  </ns0:r>
  <ns0:r>
    <ns0:x v="4"/>
    <ns0:n v="201104"/>
    <ns0:x v="7"/>
    <ns0:n v="0"/>
    <ns0:n v="35.8"/>
    <ns0:n v="-35.8"/>
    <ns0:n v="0"/>
  </ns0:r>
  <ns0:r>
    <ns0:x v="4"/>
    <ns0:n v="201104"/>
    <ns0:x v="8"/>
    <ns0:n v="0"/>
    <ns0:n v="57.51"/>
    <ns0:n v="-57.51"/>
    <ns0:n v="0"/>
  </ns0:r>
  <ns0:r>
    <ns0:x v="4"/>
    <ns0:n v="201104"/>
    <ns0:x v="10"/>
    <ns0:n v="7570.5"/>
    <ns0:n v="0"/>
    <ns0:n v="7570.5"/>
    <ns0:n v="11"/>
  </ns0:r>
  <ns0:r>
    <ns0:x v="4"/>
    <ns0:n v="201104"/>
    <ns0:x v="11"/>
    <ns0:n v="191.4"/>
    <ns0:n v="0"/>
    <ns0:n v="191.4"/>
    <ns0:n v="1"/>
  </ns0:r>
  <ns0:r>
    <ns0:x v="4"/>
    <ns0:n v="201104"/>
    <ns0:x v="12"/>
    <ns0:n v="1688.92"/>
    <ns0:n v="62.11"/>
    <ns0:n v="1626.81"/>
    <ns0:n v="4"/>
  </ns0:r>
  <ns0:r>
    <ns0:x v="4"/>
    <ns0:n v="201104"/>
    <ns0:x v="13"/>
    <ns0:n v="5529.61"/>
    <ns0:n v="1334.4"/>
    <ns0:n v="4195.21"/>
    <ns0:n v="14"/>
  </ns0:r>
  <ns0:r>
    <ns0:x v="4"/>
    <ns0:n v="201104"/>
    <ns0:x v="14"/>
    <ns0:n v="12315.54"/>
    <ns0:n v="352.17"/>
    <ns0:n v="11963.37"/>
    <ns0:n v="23"/>
  </ns0:r>
  <ns0:r>
    <ns0:x v="4"/>
    <ns0:n v="201104"/>
    <ns0:x v="15"/>
    <ns0:n v="609.74"/>
    <ns0:n v="0"/>
    <ns0:n v="609.74"/>
    <ns0:n v="1"/>
  </ns0:r>
  <ns0:r>
    <ns0:x v="4"/>
    <ns0:n v="201104"/>
    <ns0:x v="16"/>
    <ns0:n v="1539.64"/>
    <ns0:n v="0"/>
    <ns0:n v="1539.64"/>
    <ns0:n v="1"/>
  </ns0:r>
  <ns0:r>
    <ns0:x v="4"/>
    <ns0:n v="201104"/>
    <ns0:x v="17"/>
    <ns0:n v="636.25"/>
    <ns0:n v="0"/>
    <ns0:n v="636.25"/>
    <ns0:n v="1"/>
  </ns0:r>
  <ns0:r>
    <ns0:x v="4"/>
    <ns0:n v="201104"/>
    <ns0:x v="18"/>
    <ns0:n v="110"/>
    <ns0:n v="0"/>
    <ns0:n v="110"/>
    <ns0:n v="1"/>
  </ns0:r>
  <ns0:r>
    <ns0:x v="4"/>
    <ns0:n v="201104"/>
    <ns0:x v="19"/>
    <ns0:n v="737.83"/>
    <ns0:n v="0"/>
    <ns0:n v="737.83"/>
    <ns0:n v="2"/>
  </ns0:r>
  <ns0:r>
    <ns0:x v="4"/>
    <ns0:n v="201104"/>
    <ns0:x v="20"/>
    <ns0:n v="6548.5"/>
    <ns0:n v="1676.67"/>
    <ns0:n v="4871.83"/>
    <ns0:n v="2"/>
  </ns0:r>
  <ns0:r>
    <ns0:x v="4"/>
    <ns0:n v="201104"/>
    <ns0:x v="24"/>
    <ns0:n v="2976.56"/>
    <ns0:n v="0"/>
    <ns0:n v="2976.56"/>
    <ns0:n v="3"/>
  </ns0:r>
  <ns0:r>
    <ns0:x v="4"/>
    <ns0:n v="201104"/>
    <ns0:x v="26"/>
    <ns0:n v="705.84"/>
    <ns0:n v="0"/>
    <ns0:n v="705.84"/>
    <ns0:n v="1"/>
  </ns0:r>
  <ns0:r>
    <ns0:x v="4"/>
    <ns0:n v="201104"/>
    <ns0:x v="27"/>
    <ns0:n v="1687.75"/>
    <ns0:n v="0"/>
    <ns0:n v="1687.75"/>
    <ns0:n v="2"/>
  </ns0:r>
  <ns0:r>
    <ns0:x v="4"/>
    <ns0:n v="201104"/>
    <ns0:x v="30"/>
    <ns0:n v="8209.58"/>
    <ns0:n v="6090.84"/>
    <ns0:n v="2118.74"/>
    <ns0:n v="3"/>
  </ns0:r>
  <ns0:r>
    <ns0:x v="4"/>
    <ns0:n v="201104"/>
    <ns0:x v="31"/>
    <ns0:n v="1785.65"/>
    <ns0:n v="0"/>
    <ns0:n v="1785.65"/>
    <ns0:n v="3"/>
  </ns0:r>
  <ns0:r>
    <ns0:x v="4"/>
    <ns0:n v="201104"/>
    <ns0:x v="32"/>
    <ns0:n v="809.1"/>
    <ns0:n v="0"/>
    <ns0:n v="809.1"/>
    <ns0:n v="2"/>
  </ns0:r>
  <ns0:r>
    <ns0:x v="4"/>
    <ns0:n v="201104"/>
    <ns0:x v="33"/>
    <ns0:n v="2076.94"/>
    <ns0:n v="254.75"/>
    <ns0:n v="1822.19"/>
    <ns0:n v="4"/>
  </ns0:r>
  <ns0:r>
    <ns0:x v="4"/>
    <ns0:n v="201104"/>
    <ns0:x v="37"/>
    <ns0:n v="383.95"/>
    <ns0:n v="0"/>
    <ns0:n v="383.95"/>
    <ns0:n v="1"/>
  </ns0:r>
  <ns0:r>
    <ns0:x v="4"/>
    <ns0:n v="201104"/>
    <ns0:x v="35"/>
    <ns0:n v="475677.631"/>
    <ns0:n v="34262.87"/>
    <ns0:n v="441414.761"/>
    <ns0:n v="1153"/>
  </ns0:r>
  <ns0:r>
    <ns0:x v="4"/>
    <ns0:n v="201104"/>
    <ns0:x v="36"/>
    <ns0:n v="299.1"/>
    <ns0:n v="0"/>
    <ns0:n v="299.1"/>
    <ns0:n v="1"/>
  </ns0:r>
  <ns0:r>
    <ns0:x v="5"/>
    <ns0:n v="201105"/>
    <ns0:x v="0"/>
    <ns0:n v="13638.41"/>
    <ns0:n v="9.9"/>
    <ns0:n v="13628.51"/>
    <ns0:n v="4"/>
  </ns0:r>
  <ns0:r>
    <ns0:x v="5"/>
    <ns0:n v="201105"/>
    <ns0:x v="1"/>
    <ns0:n v="1249.43"/>
    <ns0:n v="0"/>
    <ns0:n v="1249.43"/>
    <ns0:n v="2"/>
  </ns0:r>
  <ns0:r>
    <ns0:x v="5"/>
    <ns0:n v="201105"/>
    <ns0:x v="2"/>
    <ns0:n v="548.4"/>
    <ns0:n v="0"/>
    <ns0:n v="548.4"/>
    <ns0:n v="2"/>
  </ns0:r>
  <ns0:r>
    <ns0:x v="5"/>
    <ns0:n v="201105"/>
    <ns0:x v="3"/>
    <ns0:n v="2732.4"/>
    <ns0:n v="5.4"/>
    <ns0:n v="2727"/>
    <ns0:n v="9"/>
  </ns0:r>
  <ns0:r>
    <ns0:x v="5"/>
    <ns0:n v="201105"/>
    <ns0:x v="5"/>
    <ns0:n v="534.24"/>
    <ns0:n v="0"/>
    <ns0:n v="534.24"/>
    <ns0:n v="1"/>
  </ns0:r>
  <ns0:r>
    <ns0:x v="5"/>
    <ns0:n v="201105"/>
    <ns0:x v="6"/>
    <ns0:n v="1207.24"/>
    <ns0:n v="303.45"/>
    <ns0:n v="903.79"/>
    <ns0:n v="2"/>
  </ns0:r>
  <ns0:r>
    <ns0:x v="5"/>
    <ns0:n v="201105"/>
    <ns0:x v="9"/>
    <ns0:n v="515.7"/>
    <ns0:n v="0"/>
    <ns0:n v="515.7"/>
    <ns0:n v="1"/>
  </ns0:r>
  <ns0:r>
    <ns0:x v="5"/>
    <ns0:n v="201105"/>
    <ns0:x v="10"/>
    <ns0:n v="18003.72"/>
    <ns0:n v="87.41"/>
    <ns0:n v="17916.31"/>
    <ns0:n v="22"/>
  </ns0:r>
  <ns0:r>
    <ns0:x v="5"/>
    <ns0:n v="201105"/>
    <ns0:x v="13"/>
    <ns0:n v="17606.48"/>
    <ns0:n v="87.8"/>
    <ns0:n v="17518.68"/>
    <ns0:n v="39"/>
  </ns0:r>
  <ns0:r>
    <ns0:x v="5"/>
    <ns0:n v="201105"/>
    <ns0:x v="14"/>
    <ns0:n v="25734.7"/>
    <ns0:n v="179.85"/>
    <ns0:n v="25554.85"/>
    <ns0:n v="42"/>
  </ns0:r>
  <ns0:r>
    <ns0:x v="5"/>
    <ns0:n v="201105"/>
    <ns0:x v="16"/>
    <ns0:n v="1966.16"/>
    <ns0:n v="0"/>
    <ns0:n v="1966.16"/>
    <ns0:n v="1"/>
  </ns0:r>
  <ns0:r>
    <ns0:x v="5"/>
    <ns0:n v="201105"/>
    <ns0:x v="19"/>
    <ns0:n v="587.45"/>
    <ns0:n v="0"/>
    <ns0:n v="587.45"/>
    <ns0:n v="1"/>
  </ns0:r>
  <ns0:r>
    <ns0:x v="5"/>
    <ns0:n v="201105"/>
    <ns0:x v="20"/>
    <ns0:n v="1351.45"/>
    <ns0:n v="0"/>
    <ns0:n v="1351.45"/>
    <ns0:n v="1"/>
  </ns0:r>
  <ns0:r>
    <ns0:x v="5"/>
    <ns0:n v="201105"/>
    <ns0:x v="24"/>
    <ns0:n v="29185.88"/>
    <ns0:n v="0"/>
    <ns0:n v="29185.88"/>
    <ns0:n v="11"/>
  </ns0:r>
  <ns0:r>
    <ns0:x v="5"/>
    <ns0:n v="201105"/>
    <ns0:x v="26"/>
    <ns0:n v="1522.37"/>
    <ns0:n v="0"/>
    <ns0:n v="1522.37"/>
    <ns0:n v="3"/>
  </ns0:r>
  <ns0:r>
    <ns0:x v="5"/>
    <ns0:n v="201105"/>
    <ns0:x v="27"/>
    <ns0:n v="4202.23"/>
    <ns0:n v="3614.4"/>
    <ns0:n v="587.83"/>
    <ns0:n v="5"/>
  </ns0:r>
  <ns0:r>
    <ns0:x v="5"/>
    <ns0:n v="201105"/>
    <ns0:x v="31"/>
    <ns0:n v="3257.6"/>
    <ns0:n v="0"/>
    <ns0:n v="3257.6"/>
    <ns0:n v="4"/>
  </ns0:r>
  <ns0:r>
    <ns0:x v="5"/>
    <ns0:n v="201105"/>
    <ns0:x v="32"/>
    <ns0:n v="2681.98"/>
    <ns0:n v="17"/>
    <ns0:n v="2664.98"/>
    <ns0:n v="3"/>
  </ns0:r>
  <ns0:r>
    <ns0:x v="5"/>
    <ns0:n v="201105"/>
    <ns0:x v="33"/>
    <ns0:n v="3610.01"/>
    <ns0:n v="42.8"/>
    <ns0:n v="3567.21"/>
    <ns0:n v="3"/>
  </ns0:r>
  <ns0:r>
    <ns0:x v="5"/>
    <ns0:n v="201105"/>
    <ns0:x v="35"/>
    <ns0:n v="638104.89"/>
    <ns0:n v="42854.5"/>
    <ns0:n v="595250.39"/>
    <ns0:n v="1523"/>
  </ns0:r>
  <ns0:r>
    <ns0:x v="5"/>
    <ns0:n v="201105"/>
    <ns0:x v="36"/>
    <ns0:n v="1055.87"/>
    <ns0:n v="0"/>
    <ns0:n v="1055.87"/>
    <ns0:n v="2"/>
  </ns0:r>
  <ns0:r>
    <ns0:x v="6"/>
    <ns0:n v="201106"/>
    <ns0:x v="0"/>
    <ns0:n v="25187.77"/>
    <ns0:n v="23"/>
    <ns0:n v="25164.77"/>
    <ns0:n v="4"/>
  </ns0:r>
  <ns0:r>
    <ns0:x v="6"/>
    <ns0:n v="201106"/>
    <ns0:x v="1"/>
    <ns0:n v="0"/>
    <ns0:n v="24.2"/>
    <ns0:n v="-24.2"/>
    <ns0:n v="0"/>
  </ns0:r>
  <ns0:r>
    <ns0:x v="6"/>
    <ns0:n v="201106"/>
    <ns0:x v="3"/>
    <ns0:n v="4274.82"/>
    <ns0:n v="1.65"/>
    <ns0:n v="4273.17"/>
    <ns0:n v="11"/>
  </ns0:r>
  <ns0:r>
    <ns0:x v="6"/>
    <ns0:n v="201106"/>
    <ns0:x v="5"/>
    <ns0:n v="1171.46"/>
    <ns0:n v="0"/>
    <ns0:n v="1171.46"/>
    <ns0:n v="1"/>
  </ns0:r>
  <ns0:r>
    <ns0:x v="6"/>
    <ns0:n v="201106"/>
    <ns0:x v="6"/>
    <ns0:n v="2060.03"/>
    <ns0:n v="0"/>
    <ns0:n v="2060.03"/>
    <ns0:n v="1"/>
  </ns0:r>
  <ns0:r>
    <ns0:x v="6"/>
    <ns0:n v="201106"/>
    <ns0:x v="7"/>
    <ns0:n v="1109.32"/>
    <ns0:n v="0"/>
    <ns0:n v="1109.32"/>
    <ns0:n v="1"/>
  </ns0:r>
  <ns0:r>
    <ns0:x v="6"/>
    <ns0:n v="201106"/>
    <ns0:x v="9"/>
    <ns0:n v="3261.15"/>
    <ns0:n v="0"/>
    <ns0:n v="3261.15"/>
    <ns0:n v="3"/>
  </ns0:r>
  <ns0:r>
    <ns0:x v="6"/>
    <ns0:n v="201106"/>
    <ns0:x v="10"/>
    <ns0:n v="24863.61"/>
    <ns0:n v="4773.36"/>
    <ns0:n v="20090.25"/>
    <ns0:n v="28"/>
  </ns0:r>
  <ns0:r>
    <ns0:x v="6"/>
    <ns0:n v="201106"/>
    <ns0:x v="11"/>
    <ns0:n v="432.05"/>
    <ns0:n v="8.5"/>
    <ns0:n v="423.55"/>
    <ns0:n v="2"/>
  </ns0:r>
  <ns0:r>
    <ns0:x v="6"/>
    <ns0:n v="201106"/>
    <ns0:x v="12"/>
    <ns0:n v="329.56"/>
    <ns0:n v="0"/>
    <ns0:n v="329.56"/>
    <ns0:n v="1"/>
  </ns0:r>
  <ns0:r>
    <ns0:x v="6"/>
    <ns0:n v="201106"/>
    <ns0:x v="13"/>
    <ns0:n v="16348.41"/>
    <ns0:n v="356.54"/>
    <ns0:n v="15991.87"/>
    <ns0:n v="31"/>
  </ns0:r>
  <ns0:r>
    <ns0:x v="6"/>
    <ns0:n v="201106"/>
    <ns0:x v="14"/>
    <ns0:n v="13246.35"/>
    <ns0:n v="193.08"/>
    <ns0:n v="13053.27"/>
    <ns0:n v="24"/>
  </ns0:r>
  <ns0:r>
    <ns0:x v="6"/>
    <ns0:n v="201106"/>
    <ns0:x v="16"/>
    <ns0:n v="633.96"/>
    <ns0:n v="0"/>
    <ns0:n v="633.96"/>
    <ns0:n v="1"/>
  </ns0:r>
  <ns0:r>
    <ns0:x v="6"/>
    <ns0:n v="201106"/>
    <ns0:x v="17"/>
    <ns0:n v="382.52"/>
    <ns0:n v="0"/>
    <ns0:n v="382.52"/>
    <ns0:n v="1"/>
  </ns0:r>
  <ns0:r>
    <ns0:x v="6"/>
    <ns0:n v="201106"/>
    <ns0:x v="19"/>
    <ns0:n v="202.07"/>
    <ns0:n v="39.8"/>
    <ns0:n v="162.27"/>
    <ns0:n v="2"/>
  </ns0:r>
  <ns0:r>
    <ns0:x v="6"/>
    <ns0:n v="201106"/>
    <ns0:x v="20"/>
    <ns0:n v="1607.04"/>
    <ns0:n v="0"/>
    <ns0:n v="1607.04"/>
    <ns0:n v="1"/>
  </ns0:r>
  <ns0:r>
    <ns0:x v="6"/>
    <ns0:n v="201106"/>
    <ns0:x v="23"/>
    <ns0:n v="863.16"/>
    <ns0:n v="12.75"/>
    <ns0:n v="850.41"/>
    <ns0:n v="2"/>
  </ns0:r>
  <ns0:r>
    <ns0:x v="6"/>
    <ns0:n v="201106"/>
    <ns0:x v="24"/>
    <ns0:n v="26858.09"/>
    <ns0:n v="15"/>
    <ns0:n v="26843.09"/>
    <ns0:n v="11"/>
  </ns0:r>
  <ns0:r>
    <ns0:x v="6"/>
    <ns0:n v="201106"/>
    <ns0:x v="25"/>
    <ns0:n v="5886.86"/>
    <ns0:n v="0"/>
    <ns0:n v="5886.86"/>
    <ns0:n v="4"/>
  </ns0:r>
  <ns0:r>
    <ns0:x v="6"/>
    <ns0:n v="201106"/>
    <ns0:x v="26"/>
    <ns0:n v="343.65"/>
    <ns0:n v="78.91"/>
    <ns0:n v="264.74"/>
    <ns0:n v="2"/>
  </ns0:r>
  <ns0:r>
    <ns0:x v="6"/>
    <ns0:n v="201106"/>
    <ns0:x v="27"/>
    <ns0:n v="884.46"/>
    <ns0:n v="4.95"/>
    <ns0:n v="879.51"/>
    <ns0:n v="3"/>
  </ns0:r>
  <ns0:r>
    <ns0:x v="6"/>
    <ns0:n v="201106"/>
    <ns0:x v="31"/>
    <ns0:n v="3333.21"/>
    <ns0:n v="0.77"/>
    <ns0:n v="3332.44"/>
    <ns0:n v="8"/>
  </ns0:r>
  <ns0:r>
    <ns0:x v="6"/>
    <ns0:n v="201106"/>
    <ns0:x v="32"/>
    <ns0:n v="832"/>
    <ns0:n v="0"/>
    <ns0:n v="832"/>
    <ns0:n v="3"/>
  </ns0:r>
  <ns0:r>
    <ns0:x v="6"/>
    <ns0:n v="201106"/>
    <ns0:x v="33"/>
    <ns0:n v="7904.15"/>
    <ns0:n v="21.95"/>
    <ns0:n v="7882.2"/>
    <ns0:n v="4"/>
  </ns0:r>
  <ns0:r>
    <ns0:x v="6"/>
    <ns0:n v="201106"/>
    <ns0:x v="35"/>
    <ns0:n v="618345.53"/>
    <ns0:n v="65015.32"/>
    <ns0:n v="553330.21"/>
    <ns0:n v="1383"/>
  </ns0:r>
  <ns0:r>
    <ns0:x v="6"/>
    <ns0:n v="201106"/>
    <ns0:x v="36"/>
    <ns0:n v="185.78"/>
    <ns0:n v="0"/>
    <ns0:n v="185.78"/>
    <ns0:n v="1"/>
  </ns0:r>
  <ns0:r>
    <ns0:x v="7"/>
    <ns0:n v="201107"/>
    <ns0:x v="0"/>
    <ns0:n v="4964.38"/>
    <ns0:n v="196.81"/>
    <ns0:n v="4767.57"/>
    <ns0:n v="7"/>
  </ns0:r>
  <ns0:r>
    <ns0:x v="7"/>
    <ns0:n v="201107"/>
    <ns0:x v="1"/>
    <ns0:n v="1191.95"/>
    <ns0:n v="0"/>
    <ns0:n v="1191.95"/>
    <ns0:n v="2"/>
  </ns0:r>
  <ns0:r>
    <ns0:x v="7"/>
    <ns0:n v="201107"/>
    <ns0:x v="3"/>
    <ns0:n v="2475.57"/>
    <ns0:n v="1.95"/>
    <ns0:n v="2473.62"/>
    <ns0:n v="5"/>
  </ns0:r>
  <ns0:r>
    <ns0:x v="7"/>
    <ns0:n v="201107"/>
    <ns0:x v="5"/>
    <ns0:n v="1768.58"/>
    <ns0:n v="0"/>
    <ns0:n v="1768.58"/>
    <ns0:n v="2"/>
  </ns0:r>
  <ns0:r>
    <ns0:x v="7"/>
    <ns0:n v="201107"/>
    <ns0:x v="9"/>
    <ns0:n v="376.24"/>
    <ns0:n v="0"/>
    <ns0:n v="376.24"/>
    <ns0:n v="1"/>
  </ns0:r>
  <ns0:r>
    <ns0:x v="7"/>
    <ns0:n v="201107"/>
    <ns0:x v="10"/>
    <ns0:n v="42738.85"/>
    <ns0:n v="49.2"/>
    <ns0:n v="42689.65"/>
    <ns0:n v="27"/>
  </ns0:r>
  <ns0:r>
    <ns0:x v="7"/>
    <ns0:n v="201107"/>
    <ns0:x v="11"/>
    <ns0:n v="676.8"/>
    <ns0:n v="0"/>
    <ns0:n v="676.8"/>
    <ns0:n v="1"/>
  </ns0:r>
  <ns0:r>
    <ns0:x v="7"/>
    <ns0:n v="201107"/>
    <ns0:x v="12"/>
    <ns0:n v="2996.73"/>
    <ns0:n v="0"/>
    <ns0:n v="2996.73"/>
    <ns0:n v="3"/>
  </ns0:r>
  <ns0:r>
    <ns0:x v="7"/>
    <ns0:n v="201107"/>
    <ns0:x v="13"/>
    <ns0:n v="10000.19"/>
    <ns0:n v="111.2"/>
    <ns0:n v="9888.99"/>
    <ns0:n v="22"/>
  </ns0:r>
  <ns0:r>
    <ns0:x v="7"/>
    <ns0:n v="201107"/>
    <ns0:x v="14"/>
    <ns0:n v="16440.98"/>
    <ns0:n v="719.32"/>
    <ns0:n v="15721.66"/>
    <ns0:n v="33"/>
  </ns0:r>
  <ns0:r>
    <ns0:x v="7"/>
    <ns0:n v="201107"/>
    <ns0:x v="15"/>
    <ns0:n v="421.24"/>
    <ns0:n v="50"/>
    <ns0:n v="371.24"/>
    <ns0:n v="1"/>
  </ns0:r>
  <ns0:r>
    <ns0:x v="7"/>
    <ns0:n v="201107"/>
    <ns0:x v="18"/>
    <ns0:n v="1430.75"/>
    <ns0:n v="0"/>
    <ns0:n v="1430.75"/>
    <ns0:n v="1"/>
  </ns0:r>
  <ns0:r>
    <ns0:x v="7"/>
    <ns0:n v="201107"/>
    <ns0:x v="19"/>
    <ns0:n v="147.1"/>
    <ns0:n v="0"/>
    <ns0:n v="147.1"/>
    <ns0:n v="1"/>
  </ns0:r>
  <ns0:r>
    <ns0:x v="7"/>
    <ns0:n v="201107"/>
    <ns0:x v="20"/>
    <ns0:n v="3854.4"/>
    <ns0:n v="0"/>
    <ns0:n v="3854.4"/>
    <ns0:n v="2"/>
  </ns0:r>
  <ns0:r>
    <ns0:x v="7"/>
    <ns0:n v="201107"/>
    <ns0:x v="24"/>
    <ns0:n v="26.02"/>
    <ns0:n v="0"/>
    <ns0:n v="26.02"/>
    <ns0:n v="1"/>
  </ns0:r>
  <ns0:r>
    <ns0:x v="7"/>
    <ns0:n v="201107"/>
    <ns0:x v="25"/>
    <ns0:n v="890.07"/>
    <ns0:n v="0"/>
    <ns0:n v="890.07"/>
    <ns0:n v="1"/>
  </ns0:r>
  <ns0:r>
    <ns0:x v="7"/>
    <ns0:n v="201107"/>
    <ns0:x v="26"/>
    <ns0:n v="687.3"/>
    <ns0:n v="8.85"/>
    <ns0:n v="678.45"/>
    <ns0:n v="2"/>
  </ns0:r>
  <ns0:r>
    <ns0:x v="7"/>
    <ns0:n v="201107"/>
    <ns0:x v="27"/>
    <ns0:n v="2287.85"/>
    <ns0:n v="0"/>
    <ns0:n v="2287.85"/>
    <ns0:n v="3"/>
  </ns0:r>
  <ns0:r>
    <ns0:x v="7"/>
    <ns0:n v="201107"/>
    <ns0:x v="30"/>
    <ns0:n v="3949.32"/>
    <ns0:n v="0"/>
    <ns0:n v="3949.32"/>
    <ns0:n v="1"/>
  </ns0:r>
  <ns0:r>
    <ns0:x v="7"/>
    <ns0:n v="201107"/>
    <ns0:x v="31"/>
    <ns0:n v="7620.77"/>
    <ns0:n v="46.75"/>
    <ns0:n v="7574.02"/>
    <ns0:n v="9"/>
  </ns0:r>
  <ns0:r>
    <ns0:x v="7"/>
    <ns0:n v="201107"/>
    <ns0:x v="32"/>
    <ns0:n v="6802.09"/>
    <ns0:n v="0"/>
    <ns0:n v="6802.09"/>
    <ns0:n v="3"/>
  </ns0:r>
  <ns0:r>
    <ns0:x v="7"/>
    <ns0:n v="201107"/>
    <ns0:x v="33"/>
    <ns0:n v="3990.76"/>
    <ns0:n v="222"/>
    <ns0:n v="3768.76"/>
    <ns0:n v="6"/>
  </ns0:r>
  <ns0:r>
    <ns0:x v="7"/>
    <ns0:n v="201107"/>
    <ns0:x v="35"/>
    <ns0:n v="600919.071"/>
    <ns0:n v="36513.05"/>
    <ns0:n v="564406.021"/>
    <ns0:n v="1337"/>
  </ns0:r>
  <ns0:r>
    <ns0:x v="7"/>
    <ns0:n v="201107"/>
    <ns0:x v="36"/>
    <ns0:n v="1419.11"/>
    <ns0:n v="0"/>
    <ns0:n v="1419.11"/>
    <ns0:n v="4"/>
  </ns0:r>
  <ns0:r>
    <ns0:x v="8"/>
    <ns0:n v="201108"/>
    <ns0:x v="0"/>
    <ns0:n v="22489.2"/>
    <ns0:n v="0"/>
    <ns0:n v="22489.2"/>
    <ns0:n v="2"/>
  </ns0:r>
  <ns0:r>
    <ns0:x v="8"/>
    <ns0:n v="201108"/>
    <ns0:x v="1"/>
    <ns0:n v="1516.08"/>
    <ns0:n v="0"/>
    <ns0:n v="1516.08"/>
    <ns0:n v="2"/>
  </ns0:r>
  <ns0:r>
    <ns0:x v="8"/>
    <ns0:n v="201108"/>
    <ns0:x v="3"/>
    <ns0:n v="3554.02"/>
    <ns0:n v="17.9"/>
    <ns0:n v="3536.12"/>
    <ns0:n v="9"/>
  </ns0:r>
  <ns0:r>
    <ns0:x v="8"/>
    <ns0:n v="201108"/>
    <ns0:x v="5"/>
    <ns0:n v="51.56"/>
    <ns0:n v="0"/>
    <ns0:n v="51.56"/>
    <ns0:n v="1"/>
  </ns0:r>
  <ns0:r>
    <ns0:x v="8"/>
    <ns0:n v="201108"/>
    <ns0:x v="6"/>
    <ns0:n v="4886.88"/>
    <ns0:n v="4.25"/>
    <ns0:n v="4882.63"/>
    <ns0:n v="5"/>
  </ns0:r>
  <ns0:r>
    <ns0:x v="8"/>
    <ns0:n v="201108"/>
    <ns0:x v="9"/>
    <ns0:n v="213.15"/>
    <ns0:n v="134.55"/>
    <ns0:n v="78.6"/>
    <ns0:n v="1"/>
  </ns0:r>
  <ns0:r>
    <ns0:x v="8"/>
    <ns0:n v="201108"/>
    <ns0:x v="10"/>
    <ns0:n v="18344.2"/>
    <ns0:n v="6196.28"/>
    <ns0:n v="12147.92"/>
    <ns0:n v="19"/>
  </ns0:r>
  <ns0:r>
    <ns0:x v="8"/>
    <ns0:n v="201108"/>
    <ns0:x v="12"/>
    <ns0:n v="1376.5"/>
    <ns0:n v="4.95"/>
    <ns0:n v="1371.55"/>
    <ns0:n v="3"/>
  </ns0:r>
  <ns0:r>
    <ns0:x v="8"/>
    <ns0:n v="201108"/>
    <ns0:x v="13"/>
    <ns0:n v="13810.96"/>
    <ns0:n v="21.7"/>
    <ns0:n v="13789.26"/>
    <ns0:n v="28"/>
  </ns0:r>
  <ns0:r>
    <ns0:x v="8"/>
    <ns0:n v="201108"/>
    <ns0:x v="14"/>
    <ns0:n v="19220.77"/>
    <ns0:n v="197.12"/>
    <ns0:n v="19023.65"/>
    <ns0:n v="39"/>
  </ns0:r>
  <ns0:r>
    <ns0:x v="8"/>
    <ns0:n v="201108"/>
    <ns0:x v="16"/>
    <ns0:n v="2813.95"/>
    <ns0:n v="0"/>
    <ns0:n v="2813.95"/>
    <ns0:n v="2"/>
  </ns0:r>
  <ns0:r>
    <ns0:x v="8"/>
    <ns0:n v="201108"/>
    <ns0:x v="17"/>
    <ns0:n v="584.91"/>
    <ns0:n v="0"/>
    <ns0:n v="584.91"/>
    <ns0:n v="1"/>
  </ns0:r>
  <ns0:r>
    <ns0:x v="8"/>
    <ns0:n v="201108"/>
    <ns0:x v="18"/>
    <ns0:n v="4873.81"/>
    <ns0:n v="0"/>
    <ns0:n v="4873.81"/>
    <ns0:n v="1"/>
  </ns0:r>
  <ns0:r>
    <ns0:x v="8"/>
    <ns0:n v="201108"/>
    <ns0:x v="19"/>
    <ns0:n v="1990.95"/>
    <ns0:n v="56.15"/>
    <ns0:n v="1934.8"/>
    <ns0:n v="4"/>
  </ns0:r>
  <ns0:r>
    <ns0:x v="8"/>
    <ns0:n v="201108"/>
    <ns0:x v="20"/>
    <ns0:n v="0"/>
    <ns0:n v="49.79"/>
    <ns0:n v="-49.79"/>
    <ns0:n v="0"/>
  </ns0:r>
  <ns0:r>
    <ns0:x v="8"/>
    <ns0:n v="201108"/>
    <ns0:x v="23"/>
    <ns0:n v="1119"/>
    <ns0:n v="15.75"/>
    <ns0:n v="1103.25"/>
    <ns0:n v="2"/>
  </ns0:r>
  <ns0:r>
    <ns0:x v="8"/>
    <ns0:n v="201108"/>
    <ns0:x v="24"/>
    <ns0:n v="40327.81"/>
    <ns0:n v="672"/>
    <ns0:n v="39655.81"/>
    <ns0:n v="7"/>
  </ns0:r>
  <ns0:r>
    <ns0:x v="8"/>
    <ns0:n v="201108"/>
    <ns0:x v="25"/>
    <ns0:n v="2025.81"/>
    <ns0:n v="41.35"/>
    <ns0:n v="1984.46"/>
    <ns0:n v="2"/>
  </ns0:r>
  <ns0:r>
    <ns0:x v="8"/>
    <ns0:n v="201108"/>
    <ns0:x v="26"/>
    <ns0:n v="401.8"/>
    <ns0:n v="0"/>
    <ns0:n v="401.8"/>
    <ns0:n v="2"/>
  </ns0:r>
  <ns0:r>
    <ns0:x v="8"/>
    <ns0:n v="201108"/>
    <ns0:x v="27"/>
    <ns0:n v="1221.4"/>
    <ns0:n v="15"/>
    <ns0:n v="1206.4"/>
    <ns0:n v="1"/>
  </ns0:r>
  <ns0:r>
    <ns0:x v="8"/>
    <ns0:n v="201108"/>
    <ns0:x v="31"/>
    <ns0:n v="3342.41"/>
    <ns0:n v="16.5"/>
    <ns0:n v="3325.91"/>
    <ns0:n v="10"/>
  </ns0:r>
  <ns0:r>
    <ns0:x v="8"/>
    <ns0:n v="201108"/>
    <ns0:x v="32"/>
    <ns0:n v="1390.36"/>
    <ns0:n v="9.9"/>
    <ns0:n v="1380.46"/>
    <ns0:n v="5"/>
  </ns0:r>
  <ns0:r>
    <ns0:x v="8"/>
    <ns0:n v="201108"/>
    <ns0:x v="33"/>
    <ns0:n v="4969.89"/>
    <ns0:n v="87.7"/>
    <ns0:n v="4882.19"/>
    <ns0:n v="3"/>
  </ns0:r>
  <ns0:r>
    <ns0:x v="8"/>
    <ns0:n v="201108"/>
    <ns0:x v="35"/>
    <ns0:n v="606784.93"/>
    <ns0:n v="46789.91"/>
    <ns0:n v="559995.02"/>
    <ns0:n v="1210"/>
  </ns0:r>
  <ns0:r>
    <ns0:x v="8"/>
    <ns0:n v="201108"/>
    <ns0:x v="36"/>
    <ns0:n v="531.03"/>
    <ns0:n v="0"/>
    <ns0:n v="531.03"/>
    <ns0:n v="2"/>
  </ns0:r>
  <ns0:r>
    <ns0:x v="9"/>
    <ns0:n v="201109"/>
    <ns0:x v="0"/>
    <ns0:n v="5106.73"/>
    <ns0:n v="75"/>
    <ns0:n v="5031.73"/>
    <ns0:n v="8"/>
  </ns0:r>
  <ns0:r>
    <ns0:x v="9"/>
    <ns0:n v="201109"/>
    <ns0:x v="3"/>
    <ns0:n v="4208.02"/>
    <ns0:n v="10.2"/>
    <ns0:n v="4197.82"/>
    <ns0:n v="7"/>
  </ns0:r>
  <ns0:r>
    <ns0:x v="9"/>
    <ns0:n v="201109"/>
    <ns0:x v="6"/>
    <ns0:n v="1323.75"/>
    <ns0:n v="2.1"/>
    <ns0:n v="1321.65"/>
    <ns0:n v="2"/>
  </ns0:r>
  <ns0:r>
    <ns0:x v="9"/>
    <ns0:n v="201109"/>
    <ns0:x v="7"/>
    <ns0:n v="196.35"/>
    <ns0:n v="0"/>
    <ns0:n v="196.35"/>
    <ns0:n v="1"/>
  </ns0:r>
  <ns0:r>
    <ns0:x v="9"/>
    <ns0:n v="201109"/>
    <ns0:x v="9"/>
    <ns0:n v="4570.16"/>
    <ns0:n v="0"/>
    <ns0:n v="4570.16"/>
    <ns0:n v="3"/>
  </ns0:r>
  <ns0:r>
    <ns0:x v="9"/>
    <ns0:n v="201109"/>
    <ns0:x v="10"/>
    <ns0:n v="42923.7"/>
    <ns0:n v="447.5"/>
    <ns0:n v="42476.2"/>
    <ns0:n v="38"/>
  </ns0:r>
  <ns0:r>
    <ns0:x v="9"/>
    <ns0:n v="201109"/>
    <ns0:x v="12"/>
    <ns0:n v="1105.45"/>
    <ns0:n v="0"/>
    <ns0:n v="1105.45"/>
    <ns0:n v="4"/>
  </ns0:r>
  <ns0:r>
    <ns0:x v="9"/>
    <ns0:n v="201109"/>
    <ns0:x v="13"/>
    <ns0:n v="23428.04"/>
    <ns0:n v="229.17"/>
    <ns0:n v="23198.87"/>
    <ns0:n v="45"/>
  </ns0:r>
  <ns0:r>
    <ns0:x v="9"/>
    <ns0:n v="201109"/>
    <ns0:x v="14"/>
    <ns0:n v="18079.47"/>
    <ns0:n v="370.91"/>
    <ns0:n v="17708.56"/>
    <ns0:n v="41"/>
  </ns0:r>
  <ns0:r>
    <ns0:x v="9"/>
    <ns0:n v="201109"/>
    <ns0:x v="16"/>
    <ns0:n v="2653.95"/>
    <ns0:n v="2653.95"/>
    <ns0:n v="0"/>
    <ns0:n v="1"/>
  </ns0:r>
  <ns0:r>
    <ns0:x v="9"/>
    <ns0:n v="201109"/>
    <ns0:x v="18"/>
    <ns0:n v="423.73"/>
    <ns0:n v="0"/>
    <ns0:n v="423.73"/>
    <ns0:n v="1"/>
  </ns0:r>
  <ns0:r>
    <ns0:x v="9"/>
    <ns0:n v="201109"/>
    <ns0:x v="19"/>
    <ns0:n v="279.8"/>
    <ns0:n v="0"/>
    <ns0:n v="279.8"/>
    <ns0:n v="1"/>
  </ns0:r>
  <ns0:r>
    <ns0:x v="9"/>
    <ns0:n v="201109"/>
    <ns0:x v="20"/>
    <ns0:n v="112.08"/>
    <ns0:n v="0"/>
    <ns0:n v="112.08"/>
    <ns0:n v="1"/>
  </ns0:r>
  <ns0:r>
    <ns0:x v="9"/>
    <ns0:n v="201109"/>
    <ns0:x v="24"/>
    <ns0:n v="26937.26"/>
    <ns0:n v="0"/>
    <ns0:n v="26937.26"/>
    <ns0:n v="7"/>
  </ns0:r>
  <ns0:r>
    <ns0:x v="9"/>
    <ns0:n v="201109"/>
    <ns0:x v="25"/>
    <ns0:n v="8678.94"/>
    <ns0:n v="0"/>
    <ns0:n v="8678.94"/>
    <ns0:n v="6"/>
  </ns0:r>
  <ns0:r>
    <ns0:x v="9"/>
    <ns0:n v="201109"/>
    <ns0:x v="26"/>
    <ns0:n v="529.25"/>
    <ns0:n v="0"/>
    <ns0:n v="529.25"/>
    <ns0:n v="2"/>
  </ns0:r>
  <ns0:r>
    <ns0:x v="9"/>
    <ns0:n v="201109"/>
    <ns0:x v="27"/>
    <ns0:n v="1433.22"/>
    <ns0:n v="0"/>
    <ns0:n v="1433.22"/>
    <ns0:n v="3"/>
  </ns0:r>
  <ns0:r>
    <ns0:x v="9"/>
    <ns0:n v="201109"/>
    <ns0:x v="31"/>
    <ns0:n v="5189.24"/>
    <ns0:n v="25.5"/>
    <ns0:n v="5163.74"/>
    <ns0:n v="8"/>
  </ns0:r>
  <ns0:r>
    <ns0:x v="9"/>
    <ns0:n v="201109"/>
    <ns0:x v="32"/>
    <ns0:n v="4575.21"/>
    <ns0:n v="0"/>
    <ns0:n v="4575.21"/>
    <ns0:n v="3"/>
  </ns0:r>
  <ns0:r>
    <ns0:x v="9"/>
    <ns0:n v="201109"/>
    <ns0:x v="33"/>
    <ns0:n v="8284.86"/>
    <ns0:n v="29.9"/>
    <ns0:n v="8254.96"/>
    <ns0:n v="7"/>
  </ns0:r>
  <ns0:r>
    <ns0:x v="9"/>
    <ns0:n v="201109"/>
    <ns0:x v="34"/>
    <ns0:n v="1013.04"/>
    <ns0:n v="0"/>
    <ns0:n v="1013.04"/>
    <ns0:n v="2"/>
  </ns0:r>
  <ns0:r>
    <ns0:x v="9"/>
    <ns0:n v="201109"/>
    <ns0:x v="35"/>
    <ns0:n v="895098.642"/>
    <ns0:n v="34994.28"/>
    <ns0:n v="860104.362"/>
    <ns0:n v="1645"/>
  </ns0:r>
  <ns0:r>
    <ns0:x v="9"/>
    <ns0:n v="201109"/>
    <ns0:x v="36"/>
    <ns0:n v="284.3"/>
    <ns0:n v="0"/>
    <ns0:n v="284.3"/>
    <ns0:n v="1"/>
  </ns0:r>
  <ns0:r>
    <ns0:x v="10"/>
    <ns0:n v="201110"/>
    <ns0:x v="0"/>
    <ns0:n v="17150.53"/>
    <ns0:n v="0"/>
    <ns0:n v="17150.53"/>
    <ns0:n v="4"/>
  </ns0:r>
  <ns0:r>
    <ns0:x v="10"/>
    <ns0:n v="201110"/>
    <ns0:x v="1"/>
    <ns0:n v="1043.78"/>
    <ns0:n v="0"/>
    <ns0:n v="1043.78"/>
    <ns0:n v="1"/>
  </ns0:r>
  <ns0:r>
    <ns0:x v="10"/>
    <ns0:n v="201110"/>
    <ns0:x v="3"/>
    <ns0:n v="5685.38"/>
    <ns0:n v="34"/>
    <ns0:n v="5651.38"/>
    <ns0:n v="11"/>
  </ns0:r>
  <ns0:r>
    <ns0:x v="10"/>
    <ns0:n v="201110"/>
    <ns0:x v="6"/>
    <ns0:n v="2623.32"/>
    <ns0:n v="0"/>
    <ns0:n v="2623.32"/>
    <ns0:n v="5"/>
  </ns0:r>
  <ns0:r>
    <ns0:x v="10"/>
    <ns0:n v="201110"/>
    <ns0:x v="7"/>
    <ns0:n v="4350.32"/>
    <ns0:n v="196.35"/>
    <ns0:n v="4153.97"/>
    <ns0:n v="4"/>
  </ns0:r>
  <ns0:r>
    <ns0:x v="10"/>
    <ns0:n v="201110"/>
    <ns0:x v="8"/>
    <ns0:n v="277.48"/>
    <ns0:n v="0"/>
    <ns0:n v="277.48"/>
    <ns0:n v="1"/>
  </ns0:r>
  <ns0:r>
    <ns0:x v="10"/>
    <ns0:n v="201110"/>
    <ns0:x v="9"/>
    <ns0:n v="1490.76"/>
    <ns0:n v="52.65"/>
    <ns0:n v="1438.11"/>
    <ns0:n v="3"/>
  </ns0:r>
  <ns0:r>
    <ns0:x v="10"/>
    <ns0:n v="201110"/>
    <ns0:x v="10"/>
    <ns0:n v="24302.92"/>
    <ns0:n v="1010.3"/>
    <ns0:n v="23292.62"/>
    <ns0:n v="31"/>
  </ns0:r>
  <ns0:r>
    <ns0:x v="10"/>
    <ns0:n v="201110"/>
    <ns0:x v="12"/>
    <ns0:n v="2822.12"/>
    <ns0:n v="18"/>
    <ns0:n v="2804.12"/>
    <ns0:n v="6"/>
  </ns0:r>
  <ns0:r>
    <ns0:x v="10"/>
    <ns0:n v="201110"/>
    <ns0:x v="13"/>
    <ns0:n v="33471.05"/>
    <ns0:n v="8453.41"/>
    <ns0:n v="25017.64"/>
    <ns0:n v="35"/>
  </ns0:r>
  <ns0:r>
    <ns0:x v="10"/>
    <ns0:n v="201110"/>
    <ns0:x v="14"/>
    <ns0:n v="31628.42"/>
    <ns0:n v="1024.15"/>
    <ns0:n v="30604.27"/>
    <ns0:n v="58"/>
  </ns0:r>
  <ns0:r>
    <ns0:x v="10"/>
    <ns0:n v="201110"/>
    <ns0:x v="16"/>
    <ns0:n v="734.52"/>
    <ns0:n v="10.95"/>
    <ns0:n v="723.57"/>
    <ns0:n v="2"/>
  </ns0:r>
  <ns0:r>
    <ns0:x v="10"/>
    <ns0:n v="201110"/>
    <ns0:x v="17"/>
    <ns0:n v="1294.32"/>
    <ns0:n v="0"/>
    <ns0:n v="1294.32"/>
    <ns0:n v="1"/>
  </ns0:r>
  <ns0:r>
    <ns0:x v="10"/>
    <ns0:n v="201110"/>
    <ns0:x v="18"/>
    <ns0:n v="132.18"/>
    <ns0:n v="0"/>
    <ns0:n v="132.18"/>
    <ns0:n v="2"/>
  </ns0:r>
  <ns0:r>
    <ns0:x v="10"/>
    <ns0:n v="201110"/>
    <ns0:x v="19"/>
    <ns0:n v="3489.69"/>
    <ns0:n v="78.9"/>
    <ns0:n v="3410.79"/>
    <ns0:n v="7"/>
  </ns0:r>
  <ns0:r>
    <ns0:x v="10"/>
    <ns0:n v="201110"/>
    <ns0:x v="20"/>
    <ns0:n v="1948.04"/>
    <ns0:n v="0"/>
    <ns0:n v="1948.04"/>
    <ns0:n v="2"/>
  </ns0:r>
  <ns0:r>
    <ns0:x v="10"/>
    <ns0:n v="201110"/>
    <ns0:x v="24"/>
    <ns0:n v="40708.65"/>
    <ns0:n v="0"/>
    <ns0:n v="40708.65"/>
    <ns0:n v="15"/>
  </ns0:r>
  <ns0:r>
    <ns0:x v="10"/>
    <ns0:n v="201110"/>
    <ns0:x v="25"/>
    <ns0:n v="3687.23"/>
    <ns0:n v="0"/>
    <ns0:n v="3687.23"/>
    <ns0:n v="7"/>
  </ns0:r>
  <ns0:r>
    <ns0:x v="10"/>
    <ns0:n v="201110"/>
    <ns0:x v="27"/>
    <ns0:n v="6184.22"/>
    <ns0:n v="622.04"/>
    <ns0:n v="5562.18"/>
    <ns0:n v="10"/>
  </ns0:r>
  <ns0:r>
    <ns0:x v="10"/>
    <ns0:n v="201110"/>
    <ns0:x v="28"/>
    <ns0:n v="1002.31"/>
    <ns0:n v="0"/>
    <ns0:n v="1002.31"/>
    <ns0:n v="1"/>
  </ns0:r>
  <ns0:r>
    <ns0:x v="10"/>
    <ns0:n v="201110"/>
    <ns0:x v="30"/>
    <ns0:n v="7067.32"/>
    <ns0:n v="6068.06"/>
    <ns0:n v="999.26"/>
    <ns0:n v="2"/>
  </ns0:r>
  <ns0:r>
    <ns0:x v="10"/>
    <ns0:n v="201110"/>
    <ns0:x v="31"/>
    <ns0:n v="8636.94"/>
    <ns0:n v="3558.29"/>
    <ns0:n v="5078.65"/>
    <ns0:n v="8"/>
  </ns0:r>
  <ns0:r>
    <ns0:x v="10"/>
    <ns0:n v="201110"/>
    <ns0:x v="32"/>
    <ns0:n v="5766.16"/>
    <ns0:n v="0"/>
    <ns0:n v="5766.16"/>
    <ns0:n v="3"/>
  </ns0:r>
  <ns0:r>
    <ns0:x v="10"/>
    <ns0:n v="201110"/>
    <ns0:x v="33"/>
    <ns0:n v="8050.73"/>
    <ns0:n v="31.2"/>
    <ns0:n v="8019.53"/>
    <ns0:n v="8"/>
  </ns0:r>
  <ns0:r>
    <ns0:x v="10"/>
    <ns0:n v="201110"/>
    <ns0:x v="37"/>
    <ns0:n v="2311.2"/>
    <ns0:n v="1579.51"/>
    <ns0:n v="731.69"/>
    <ns0:n v="2"/>
  </ns0:r>
  <ns0:r>
    <ns0:x v="10"/>
    <ns0:n v="201110"/>
    <ns0:x v="35"/>
    <ns0:n v="935404.14"/>
    <ns0:n v="59157.69"/>
    <ns0:n v="876246.45"/>
    <ns0:n v="1811"/>
  </ns0:r>
  <ns0:r>
    <ns0:x v="11"/>
    <ns0:n v="201111"/>
    <ns0:x v="0"/>
    <ns0:n v="7242.72"/>
    <ns0:n v="436.73"/>
    <ns0:n v="6805.99"/>
    <ns0:n v="6"/>
  </ns0:r>
  <ns0:r>
    <ns0:x v="11"/>
    <ns0:n v="201111"/>
    <ns0:x v="1"/>
    <ns0:n v="1329.78"/>
    <ns0:n v="0"/>
    <ns0:n v="1329.78"/>
    <ns0:n v="2"/>
  </ns0:r>
  <ns0:r>
    <ns0:x v="11"/>
    <ns0:n v="201111"/>
    <ns0:x v="3"/>
    <ns0:n v="6315.76"/>
    <ns0:n v="86.35"/>
    <ns0:n v="6229.41"/>
    <ns0:n v="11"/>
  </ns0:r>
  <ns0:r>
    <ns0:x v="11"/>
    <ns0:n v="201111"/>
    <ns0:x v="6"/>
    <ns0:n v="1514.77"/>
    <ns0:n v="19.6"/>
    <ns0:n v="1495.17"/>
    <ns0:n v="3"/>
  </ns0:r>
  <ns0:r>
    <ns0:x v="11"/>
    <ns0:n v="201111"/>
    <ns0:x v="7"/>
    <ns0:n v="439.66"/>
    <ns0:n v="0"/>
    <ns0:n v="439.66"/>
    <ns0:n v="1"/>
  </ns0:r>
  <ns0:r>
    <ns0:x v="11"/>
    <ns0:n v="201111"/>
    <ns0:x v="8"/>
    <ns0:n v="0"/>
    <ns0:n v="61.51"/>
    <ns0:n v="-61.51"/>
    <ns0:n v="0"/>
  </ns0:r>
  <ns0:r>
    <ns0:x v="11"/>
    <ns0:n v="201111"/>
    <ns0:x v="9"/>
    <ns0:n v="2699.57"/>
    <ns0:n v="0"/>
    <ns0:n v="2699.57"/>
    <ns0:n v="2"/>
  </ns0:r>
  <ns0:r>
    <ns0:x v="11"/>
    <ns0:n v="201111"/>
    <ns0:x v="10"/>
    <ns0:n v="30713.43"/>
    <ns0:n v="325.38"/>
    <ns0:n v="30388.05"/>
    <ns0:n v="42"/>
  </ns0:r>
  <ns0:r>
    <ns0:x v="11"/>
    <ns0:n v="201111"/>
    <ns0:x v="12"/>
    <ns0:n v="3070.24"/>
    <ns0:n v="120"/>
    <ns0:n v="2950.24"/>
    <ns0:n v="8"/>
  </ns0:r>
  <ns0:r>
    <ns0:x v="11"/>
    <ns0:n v="201111"/>
    <ns0:x v="13"/>
    <ns0:n v="31696.37"/>
    <ns0:n v="1058.25"/>
    <ns0:n v="30638.12"/>
    <ns0:n v="64"/>
  </ns0:r>
  <ns0:r>
    <ns0:x v="11"/>
    <ns0:n v="201111"/>
    <ns0:x v="14"/>
    <ns0:n v="27967.68"/>
    <ns0:n v="1980.67"/>
    <ns0:n v="25987.01"/>
    <ns0:n v="68"/>
  </ns0:r>
  <ns0:r>
    <ns0:x v="11"/>
    <ns0:n v="201111"/>
    <ns0:x v="16"/>
    <ns0:n v="326.1"/>
    <ns0:n v="326.1"/>
    <ns0:n v="0"/>
    <ns0:n v="1"/>
  </ns0:r>
  <ns0:r>
    <ns0:x v="11"/>
    <ns0:n v="201111"/>
    <ns0:x v="19"/>
    <ns0:n v="4571.08"/>
    <ns0:n v="327.33"/>
    <ns0:n v="4243.75"/>
    <ns0:n v="9"/>
  </ns0:r>
  <ns0:r>
    <ns0:x v="11"/>
    <ns0:n v="201111"/>
    <ns0:x v="20"/>
    <ns0:n v="8460.08"/>
    <ns0:n v="0"/>
    <ns0:n v="8460.08"/>
    <ns0:n v="2"/>
  </ns0:r>
  <ns0:r>
    <ns0:x v="11"/>
    <ns0:n v="201111"/>
    <ns0:x v="23"/>
    <ns0:n v="743.43"/>
    <ns0:n v="160.81"/>
    <ns0:n v="582.62"/>
    <ns0:n v="1"/>
  </ns0:r>
  <ns0:r>
    <ns0:x v="11"/>
    <ns0:n v="201111"/>
    <ns0:x v="24"/>
    <ns0:n v="25874.01"/>
    <ns0:n v="18"/>
    <ns0:n v="25856.01"/>
    <ns0:n v="15"/>
  </ns0:r>
  <ns0:r>
    <ns0:x v="11"/>
    <ns0:n v="201111"/>
    <ns0:x v="25"/>
    <ns0:n v="6527.5"/>
    <ns0:n v="0"/>
    <ns0:n v="6527.5"/>
    <ns0:n v="5"/>
  </ns0:r>
  <ns0:r>
    <ns0:x v="11"/>
    <ns0:n v="201111"/>
    <ns0:x v="26"/>
    <ns0:n v="1361.23"/>
    <ns0:n v="19.36"/>
    <ns0:n v="1341.87"/>
    <ns0:n v="2"/>
  </ns0:r>
  <ns0:r>
    <ns0:x v="11"/>
    <ns0:n v="201111"/>
    <ns0:x v="27"/>
    <ns0:n v="2603.3"/>
    <ns0:n v="0"/>
    <ns0:n v="2603.3"/>
    <ns0:n v="10"/>
  </ns0:r>
  <ns0:r>
    <ns0:x v="11"/>
    <ns0:n v="201111"/>
    <ns0:x v="31"/>
    <ns0:n v="8669.06"/>
    <ns0:n v="145.09"/>
    <ns0:n v="8523.97"/>
    <ns0:n v="14"/>
  </ns0:r>
  <ns0:r>
    <ns0:x v="11"/>
    <ns0:n v="201111"/>
    <ns0:x v="32"/>
    <ns0:n v="2722.23"/>
    <ns0:n v="109.52"/>
    <ns0:n v="2612.71"/>
    <ns0:n v="5"/>
  </ns0:r>
  <ns0:r>
    <ns0:x v="11"/>
    <ns0:n v="201111"/>
    <ns0:x v="33"/>
    <ns0:n v="8118.96"/>
    <ns0:n v="2"/>
    <ns0:n v="8116.96"/>
    <ns0:n v="6"/>
  </ns0:r>
  <ns0:r>
    <ns0:x v="11"/>
    <ns0:n v="201111"/>
    <ns0:x v="35"/>
    <ns0:n v="1319934.07"/>
    <ns0:n v="42524.28"/>
    <ns0:n v="1277409.79"/>
    <ns0:n v="2490"/>
  </ns0:r>
  <ns0:r>
    <ns0:x v="11"/>
    <ns0:n v="201111"/>
    <ns0:x v="36"/>
    <ns0:n v="965.75"/>
    <ns0:n v="0"/>
    <ns0:n v="965.75"/>
    <ns0:n v="2"/>
  </ns0:r>
  <ns0:r>
    <ns0:x v="12"/>
    <ns0:n v="201112"/>
    <ns0:x v="1"/>
    <ns0:n v="683.2"/>
    <ns0:n v="0"/>
    <ns0:n v="683.2"/>
    <ns0:n v="1"/>
  </ns0:r>
  <ns0:r>
    <ns0:x v="12"/>
    <ns0:n v="201112"/>
    <ns0:x v="3"/>
    <ns0:n v="1417.73"/>
    <ns0:n v="8.3"/>
    <ns0:n v="1409.43"/>
    <ns0:n v="4"/>
  </ns0:r>
  <ns0:r>
    <ns0:x v="12"/>
    <ns0:n v="201112"/>
    <ns0:x v="6"/>
    <ns0:n v="198.4"/>
    <ns0:n v="4.25"/>
    <ns0:n v="194.15"/>
    <ns0:n v="1"/>
  </ns0:r>
  <ns0:r>
    <ns0:x v="12"/>
    <ns0:n v="201112"/>
    <ns0:x v="7"/>
    <ns0:n v="0"/>
    <ns0:n v="91.25"/>
    <ns0:n v="-91.25"/>
    <ns0:n v="0"/>
  </ns0:r>
  <ns0:r>
    <ns0:x v="12"/>
    <ns0:n v="201112"/>
    <ns0:x v="9"/>
    <ns0:n v="168.9"/>
    <ns0:n v="0"/>
    <ns0:n v="168.9"/>
    <ns0:n v="1"/>
  </ns0:r>
  <ns0:r>
    <ns0:x v="12"/>
    <ns0:n v="201112"/>
    <ns0:x v="10"/>
    <ns0:n v="7340.89"/>
    <ns0:n v="17.85"/>
    <ns0:n v="7323.04"/>
    <ns0:n v="10"/>
  </ns0:r>
  <ns0:r>
    <ns0:x v="12"/>
    <ns0:n v="201112"/>
    <ns0:x v="12"/>
    <ns0:n v="1232.76"/>
    <ns0:n v="2.08"/>
    <ns0:n v="1230.68"/>
    <ns0:n v="3"/>
  </ns0:r>
  <ns0:r>
    <ns0:x v="12"/>
    <ns0:n v="201112"/>
    <ns0:x v="13"/>
    <ns0:n v="7276.92"/>
    <ns0:n v="228.09"/>
    <ns0:n v="7048.83"/>
    <ns0:n v="18"/>
  </ns0:r>
  <ns0:r>
    <ns0:x v="12"/>
    <ns0:n v="201112"/>
    <ns0:x v="14"/>
    <ns0:n v="7984.17"/>
    <ns0:n v="179.47"/>
    <ns0:n v="7804.7"/>
    <ns0:n v="17"/>
  </ns0:r>
  <ns0:r>
    <ns0:x v="12"/>
    <ns0:n v="201112"/>
    <ns0:x v="15"/>
    <ns0:n v="680.99"/>
    <ns0:n v="0"/>
    <ns0:n v="680.99"/>
    <ns0:n v="1"/>
  </ns0:r>
  <ns0:r>
    <ns0:x v="12"/>
    <ns0:n v="201112"/>
    <ns0:x v="17"/>
    <ns0:n v="224.82"/>
    <ns0:n v="0"/>
    <ns0:n v="224.82"/>
    <ns0:n v="1"/>
  </ns0:r>
  <ns0:r>
    <ns0:x v="12"/>
    <ns0:n v="201112"/>
    <ns0:x v="19"/>
    <ns0:n v="200.45"/>
    <ns0:n v="0"/>
    <ns0:n v="200.45"/>
    <ns0:n v="1"/>
  </ns0:r>
  <ns0:r>
    <ns0:x v="12"/>
    <ns0:n v="201112"/>
    <ns0:x v="20"/>
    <ns0:n v="0"/>
    <ns0:n v="116.93"/>
    <ns0:n v="-116.93"/>
    <ns0:n v="0"/>
  </ns0:r>
  <ns0:r>
    <ns0:x v="12"/>
    <ns0:n v="201112"/>
    <ns0:x v="23"/>
    <ns0:n v="0"/>
    <ns0:n v="30.81"/>
    <ns0:n v="-30.81"/>
    <ns0:n v="0"/>
  </ns0:r>
  <ns0:r>
    <ns0:x v="12"/>
    <ns0:n v="201112"/>
    <ns0:x v="24"/>
    <ns0:n v="11728.02"/>
    <ns0:n v="0"/>
    <ns0:n v="11728.02"/>
    <ns0:n v="3"/>
  </ns0:r>
  <ns0:r>
    <ns0:x v="12"/>
    <ns0:n v="201112"/>
    <ns0:x v="25"/>
    <ns0:n v="2785.7"/>
    <ns0:n v="0"/>
    <ns0:n v="2785.7"/>
    <ns0:n v="3"/>
  </ns0:r>
  <ns0:r>
    <ns0:x v="12"/>
    <ns0:n v="201112"/>
    <ns0:x v="27"/>
    <ns0:n v="2808.19"/>
    <ns0:n v="6.24"/>
    <ns0:n v="2801.95"/>
    <ns0:n v="4"/>
  </ns0:r>
  <ns0:r>
    <ns0:x v="12"/>
    <ns0:n v="201112"/>
    <ns0:x v="31"/>
    <ns0:n v="316.21"/>
    <ns0:n v="44.78"/>
    <ns0:n v="271.43"/>
    <ns0:n v="2"/>
  </ns0:r>
  <ns0:r>
    <ns0:x v="12"/>
    <ns0:n v="201112"/>
    <ns0:x v="32"/>
    <ns0:n v="238"/>
    <ns0:n v="238"/>
    <ns0:n v="0"/>
    <ns0:n v="1"/>
  </ns0:r>
  <ns0:r>
    <ns0:x v="12"/>
    <ns0:n v="201112"/>
    <ns0:x v="37"/>
    <ns0:n v="885.24"/>
    <ns0:n v="269.96"/>
    <ns0:n v="615.28"/>
    <ns0:n v="2"/>
  </ns0:r>
  <ns0:r>
    <ns0:x v="12"/>
    <ns0:n v="201112"/>
    <ns0:x v="35"/>
    <ns0:n v="591619.74"/>
    <ns0:n v="203851.26"/>
    <ns0:n v="387768.48"/>
    <ns0:n v="746"/>
  </ns0:r>
</ns0:pivotCacheRecords>
</file>

<file path=xl/pivotTables/_rels/pivotTable1.xml.rels><?xml version='1.0' encoding='utf-8'?>
<ns0:Relationships xmlns:ns0="http://schemas.openxmlformats.org/package/2006/relationships"><ns0:Relationship Id="rId1" Type="http://schemas.openxmlformats.org/officeDocument/2006/relationships/pivotCacheDefinition" Target="../pivotCache/pivotCacheDefinition1.xml" /></ns0:Relationships>
</file>

<file path=xl/pivotTables/pivotTable1.xml><?xml version="1.0" encoding="utf-8"?>
<ns0:pivotTableDefinition xmlns:ns0="http://schemas.openxmlformats.org/spreadsheetml/2006/main" name="CountryRevenuePivot" cacheId="1" dataCaption="Values" rowGrandTotals="1" colGrandTotals="1" compact="0" compactData="0" updatedVersion="6" minRefreshableVersion="3" createdVersion="6">
  <ns0:location ref="A6:D45" firstHeaderRow="1" firstDataRow="1" firstDataCol="1"/>
  <ns0:pivotFields count="7">
    <ns0:pivotField dataField="0" showAll="0"/>
    <ns0:pivotField dataField="0" showAll="0"/>
    <ns0:pivotField axis="axisRow" defaultSubtotal="0" showAll="0">
      <ns0:items count="38">
        <ns0:item x="0"/>
        <ns0:item x="1"/>
        <ns0:item x="2"/>
        <ns0:item x="3"/>
        <ns0:item x="4"/>
        <ns0:item x="5"/>
        <ns0:item x="6"/>
        <ns0:item x="7"/>
        <ns0:item x="8"/>
        <ns0:item x="9"/>
        <ns0:item x="10"/>
        <ns0:item x="11"/>
        <ns0:item x="12"/>
        <ns0:item x="13"/>
        <ns0:item x="14"/>
        <ns0:item x="15"/>
        <ns0:item x="16"/>
        <ns0:item x="17"/>
        <ns0:item x="18"/>
        <ns0:item x="19"/>
        <ns0:item x="20"/>
        <ns0:item x="21"/>
        <ns0:item x="22"/>
        <ns0:item x="23"/>
        <ns0:item x="24"/>
        <ns0:item x="25"/>
        <ns0:item x="26"/>
        <ns0:item x="27"/>
        <ns0:item x="28"/>
        <ns0:item x="29"/>
        <ns0:item x="30"/>
        <ns0:item x="31"/>
        <ns0:item x="32"/>
        <ns0:item x="33"/>
        <ns0:item x="34"/>
        <ns0:item x="35"/>
        <ns0:item x="36"/>
        <ns0:item x="37"/>
      </ns0:items>
    </ns0:pivotField>
    <ns0:pivotField dataField="1" showAll="0"/>
    <ns0:pivotField dataField="1" showAll="0"/>
    <ns0:pivotField dataField="1" showAll="0"/>
    <ns0:pivotField dataField="0" showAll="0"/>
  </ns0:pivotFields>
  <ns0:rowFields count="1">
    <ns0:field x="2"/>
  </ns0:rowFields>
  <ns0:rowItems count="39">
    <ns0:i>
      <ns0:x v="0"/>
    </ns0:i>
    <ns0:i>
      <ns0:x v="1"/>
    </ns0:i>
    <ns0:i>
      <ns0:x v="2"/>
    </ns0:i>
    <ns0:i>
      <ns0:x v="3"/>
    </ns0:i>
    <ns0:i>
      <ns0:x v="4"/>
    </ns0:i>
    <ns0:i>
      <ns0:x v="5"/>
    </ns0:i>
    <ns0:i>
      <ns0:x v="6"/>
    </ns0:i>
    <ns0:i>
      <ns0:x v="7"/>
    </ns0:i>
    <ns0:i>
      <ns0:x v="8"/>
    </ns0:i>
    <ns0:i>
      <ns0:x v="9"/>
    </ns0:i>
    <ns0:i>
      <ns0:x v="10"/>
    </ns0:i>
    <ns0:i>
      <ns0:x v="11"/>
    </ns0:i>
    <ns0:i>
      <ns0:x v="12"/>
    </ns0:i>
    <ns0:i>
      <ns0:x v="13"/>
    </ns0:i>
    <ns0:i>
      <ns0:x v="14"/>
    </ns0:i>
    <ns0:i>
      <ns0:x v="15"/>
    </ns0:i>
    <ns0:i>
      <ns0:x v="16"/>
    </ns0:i>
    <ns0:i>
      <ns0:x v="17"/>
    </ns0:i>
    <ns0:i>
      <ns0:x v="18"/>
    </ns0:i>
    <ns0:i>
      <ns0:x v="19"/>
    </ns0:i>
    <ns0:i>
      <ns0:x v="20"/>
    </ns0:i>
    <ns0:i>
      <ns0:x v="21"/>
    </ns0:i>
    <ns0:i>
      <ns0:x v="22"/>
    </ns0:i>
    <ns0:i>
      <ns0:x v="23"/>
    </ns0:i>
    <ns0:i>
      <ns0:x v="24"/>
    </ns0:i>
    <ns0:i>
      <ns0:x v="25"/>
    </ns0:i>
    <ns0:i>
      <ns0:x v="26"/>
    </ns0:i>
    <ns0:i>
      <ns0:x v="27"/>
    </ns0:i>
    <ns0:i>
      <ns0:x v="28"/>
    </ns0:i>
    <ns0:i>
      <ns0:x v="29"/>
    </ns0:i>
    <ns0:i>
      <ns0:x v="30"/>
    </ns0:i>
    <ns0:i>
      <ns0:x v="31"/>
    </ns0:i>
    <ns0:i>
      <ns0:x v="32"/>
    </ns0:i>
    <ns0:i>
      <ns0:x v="33"/>
    </ns0:i>
    <ns0:i>
      <ns0:x v="34"/>
    </ns0:i>
    <ns0:i>
      <ns0:x v="35"/>
    </ns0:i>
    <ns0:i>
      <ns0:x v="36"/>
    </ns0:i>
    <ns0:i>
      <ns0:x v="37"/>
    </ns0:i>
    <ns0:i t="grand">
      <ns0:x/>
    </ns0:i>
  </ns0:rowItems>
  <ns0:colFields count="1">
    <ns0:field x="-2"/>
  </ns0:colFields>
  <ns0:colItems count="3">
    <ns0:i i="0">
      <ns0:x v="0"/>
    </ns0:i>
    <ns0:i i="1">
      <ns0:x v="1"/>
    </ns0:i>
    <ns0:i i="2">
      <ns0:x v="2"/>
    </ns0:i>
  </ns0:colItems>
  <ns0:dataFields count="3">
    <ns0:dataField name="Sum of GrossGBP" fld="3" subtotal="sum" numFmtId="4"/>
    <ns0:dataField name="Sum of CancelledGBP" fld="4" subtotal="sum" numFmtId="4"/>
    <ns0:dataField name="Sum of NetGBP" fld="5" subtotal="sum" numFmtId="4"/>
  </ns0:dataFields>
  <ns0:pivotTableStyleInfo name="PivotStyleMedium9" showRowHeaders="1" showColHeaders="1" showRowStripes="0" showColStripes="0" showLastColumn="1"/>
</ns0:pivotTableDefinition>
</file>

<file path=xl/tables/table1.xml><?xml version="1.0" encoding="utf-8"?>
<x:table xmlns:x="http://schemas.openxmlformats.org/spreadsheetml/2006/main" id="1" name="CountryResults" displayName="CountryResults" ref="A6:G44" headerRowCount="1" totalsRowCount="0" totalsRowShown="0">
  <x:tableColumns count="7">
    <x:tableColumn id="1" name="Country"/>
    <x:tableColumn id="2" name="Gross GBP"/>
    <x:tableColumn id="3" name="Cancelled GBP"/>
    <x:tableColumn id="4" name="Net GBP"/>
    <x:tableColumn id="5" name="Sales invoices"/>
    <x:tableColumn id="6" name="Net share"/>
    <x:tableColumn id="7" name="Cancel / gro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MonthData" displayName="CountryMonthData" ref="A5:G319" headerRowCount="1" totalsRowCount="0" totalsRowShown="0">
  <x:tableColumns count="7">
    <x:tableColumn id="1" name="Month"/>
    <x:tableColumn id="2" name="MonthKey"/>
    <x:tableColumn id="3" name="Country"/>
    <x:tableColumn id="4" name="GrossGBP"/>
    <x:tableColumn id="5" name="CancelledGBP"/>
    <x:tableColumn id="6" name="NetGBP"/>
    <x:tableColumn id="7" name="SalesInvoi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42aebdc8fe41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5d194ea5a4c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24f1b52ca824e1e" /></Relationships>
</file>

<file path=xl/worksheets/_rels/sheet7.xml.rels><?xml version='1.0' encoding='utf-8'?>
<ns0:Relationships xmlns:ns0="http://schemas.openxmlformats.org/package/2006/relationships"><ns0:Relationship Id="rIdPivot" Type="http://schemas.openxmlformats.org/officeDocument/2006/relationships/pivotTable" Target="../pivotTables/pivotTable1.xml" /></ns0:Relationships>
</file>

<file path=xl/worksheets/sheet1.xml><?xml version="1.0" encoding="utf-8"?>
<x:worksheet xmlns:x="http://schemas.openxmlformats.org/spreadsheetml/2006/main">
  <x:sheetPr>
    <x:tabColor rgb="FF244D6B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Retail Ledger monthly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All recorded months in totals; December 2011 is partial and excluded from the trend chart.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2" customHeight="1">
      <x:c r="A5" s="5" t="str">
        <x:v>Metric</x:v>
      </x:c>
      <x:c r="B5" s="5" t="str">
        <x:v>GBP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Gross sales</x:v>
      </x:c>
      <x:c r="B6" s="6" t="n">
        <x:f>SUM(B11:B23)</x:f>
        <x:v>10642110.804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Cancellation value</x:v>
      </x:c>
      <x:c r="B7" s="6" t="n">
        <x:f>SUM(C11:C23)</x:f>
        <x:v>893979.73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Net transaction value</x:v>
      </x:c>
      <x:c r="B8" s="6" t="n">
        <x:f>SUM(D11:D23)</x:f>
        <x:v>9748131.074000001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2" customHeight="1">
      <x:c r="A10" s="5" t="str">
        <x:v>Month</x:v>
      </x:c>
      <x:c r="B10" s="5" t="str">
        <x:v>Gross GBP</x:v>
      </x:c>
      <x:c r="C10" s="5" t="str">
        <x:v>Cancelled GBP</x:v>
      </x:c>
      <x:c r="D10" s="5" t="str">
        <x:v>Net GBP</x:v>
      </x:c>
      <x:c r="E10" s="5" t="str">
        <x:v>Cancel / gross</x:v>
      </x:c>
      <x:c r="F10" s="5" t="str">
        <x:v>Sales invoices</x:v>
      </x:c>
      <x:c r="G10" s="5" t="str">
        <x:v>Identified buyers</x:v>
      </x:c>
      <x:c r="H10" s="5" t="str">
        <x:v>Coverage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2010-12</x:v>
      </x:c>
      <x:c r="B11" s="6" t="n">
        <x:v>821452.73</x:v>
      </x:c>
      <x:c r="C11" s="6" t="n">
        <x:v>74729.12</x:v>
      </x:c>
      <x:c r="D11" s="6" t="n">
        <x:f>B11-C11</x:f>
        <x:v>746723.61</x:v>
      </x:c>
      <x:c r="E11" s="7" t="n">
        <x:f>IF(B11=0,"n.a.",C11/B11)</x:f>
        <x:v>0.09097190534627597</x:v>
      </x:c>
      <x:c r="F11" s="8" t="n">
        <x:v>1559</x:v>
      </x:c>
      <x:c r="G11" s="8" t="n">
        <x:v>885</x:v>
      </x:c>
      <x:c r="H11" s="1" t="str">
        <x:v>Full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 t="str">
        <x:v>2011-01</x:v>
      </x:c>
      <x:c r="B12" s="6" t="n">
        <x:v>689811.61</x:v>
      </x:c>
      <x:c r="C12" s="6" t="n">
        <x:v>131363.05</x:v>
      </x:c>
      <x:c r="D12" s="6" t="n">
        <x:f>B12-C12</x:f>
        <x:v>558448.56</x:v>
      </x:c>
      <x:c r="E12" s="7" t="n">
        <x:f>IF(B12=0,"n.a.",C12/B12)</x:f>
        <x:v>0.19043322567447074</x:v>
      </x:c>
      <x:c r="F12" s="8" t="n">
        <x:v>1086</x:v>
      </x:c>
      <x:c r="G12" s="8" t="n">
        <x:v>741</x:v>
      </x:c>
      <x:c r="H12" s="1" t="str">
        <x:v>Full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2011-02</x:v>
      </x:c>
      <x:c r="B13" s="6" t="n">
        <x:v>522545.56</x:v>
      </x:c>
      <x:c r="C13" s="6" t="n">
        <x:v>25519.15</x:v>
      </x:c>
      <x:c r="D13" s="6" t="n">
        <x:f>B13-C13</x:f>
        <x:v>497026.41</x:v>
      </x:c>
      <x:c r="E13" s="7" t="n">
        <x:f>IF(B13=0,"n.a.",C13/B13)</x:f>
        <x:v>0.04883622013743644</x:v>
      </x:c>
      <x:c r="F13" s="8" t="n">
        <x:v>1100</x:v>
      </x:c>
      <x:c r="G13" s="8" t="n">
        <x:v>758</x:v>
      </x:c>
      <x:c r="H13" s="1" t="str">
        <x:v>Full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2011-03</x:v>
      </x:c>
      <x:c r="B14" s="6" t="n">
        <x:v>716215.26</x:v>
      </x:c>
      <x:c r="C14" s="6" t="n">
        <x:v>34201.28</x:v>
      </x:c>
      <x:c r="D14" s="6" t="n">
        <x:f>B14-C14</x:f>
        <x:v>682013.98</x:v>
      </x:c>
      <x:c r="E14" s="7" t="n">
        <x:f>IF(B14=0,"n.a.",C14/B14)</x:f>
        <x:v>0.04775279432052313</x:v>
      </x:c>
      <x:c r="F14" s="8" t="n">
        <x:v>1454</x:v>
      </x:c>
      <x:c r="G14" s="8" t="n">
        <x:v>974</x:v>
      </x:c>
      <x:c r="H14" s="1" t="str">
        <x:v>Full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2011-04</x:v>
      </x:c>
      <x:c r="B15" s="6" t="n">
        <x:v>536968.491</x:v>
      </x:c>
      <x:c r="C15" s="6" t="n">
        <x:v>44600.65</x:v>
      </x:c>
      <x:c r="D15" s="6" t="n">
        <x:f>B15-C15</x:f>
        <x:v>492367.841</x:v>
      </x:c>
      <x:c r="E15" s="7" t="n">
        <x:f>IF(B15=0,"n.a.",C15/B15)</x:f>
        <x:v>0.08306008778455494</x:v>
      </x:c>
      <x:c r="F15" s="8" t="n">
        <x:v>1246</x:v>
      </x:c>
      <x:c r="G15" s="8" t="n">
        <x:v>856</x:v>
      </x:c>
      <x:c r="H15" s="1" t="str">
        <x:v>Full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2011-05</x:v>
      </x:c>
      <x:c r="B16" s="6" t="n">
        <x:v>769296.61</x:v>
      </x:c>
      <x:c r="C16" s="6" t="n">
        <x:v>47202.51</x:v>
      </x:c>
      <x:c r="D16" s="6" t="n">
        <x:f>B16-C16</x:f>
        <x:v>722094.1</x:v>
      </x:c>
      <x:c r="E16" s="7" t="n">
        <x:f>IF(B16=0,"n.a.",C16/B16)</x:f>
        <x:v>0.061358011183748756</x:v>
      </x:c>
      <x:c r="F16" s="8" t="n">
        <x:v>1681</x:v>
      </x:c>
      <x:c r="G16" s="8" t="n">
        <x:v>1056</x:v>
      </x:c>
      <x:c r="H16" s="1" t="str">
        <x:v>Full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2011-06</x:v>
      </x:c>
      <x:c r="B17" s="6" t="n">
        <x:v>760547.01</x:v>
      </x:c>
      <x:c r="C17" s="6" t="n">
        <x:v>70569.78</x:v>
      </x:c>
      <x:c r="D17" s="6" t="n">
        <x:f>B17-C17</x:f>
        <x:v>689977.23</x:v>
      </x:c>
      <x:c r="E17" s="7" t="n">
        <x:f>IF(B17=0,"n.a.",C17/B17)</x:f>
        <x:v>0.09278818938490074</x:v>
      </x:c>
      <x:c r="F17" s="8" t="n">
        <x:v>1533</x:v>
      </x:c>
      <x:c r="G17" s="8" t="n">
        <x:v>991</x:v>
      </x:c>
      <x:c r="H17" s="1" t="str">
        <x:v>Full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 t="str">
        <x:v>2011-07</x:v>
      </x:c>
      <x:c r="B18" s="6" t="n">
        <x:v>718076.121</x:v>
      </x:c>
      <x:c r="C18" s="6" t="n">
        <x:v>37919.13</x:v>
      </x:c>
      <x:c r="D18" s="6" t="n">
        <x:f>B18-C18</x:f>
        <x:v>680156.991</x:v>
      </x:c>
      <x:c r="E18" s="7" t="n">
        <x:f>IF(B18=0,"n.a.",C18/B18)</x:f>
        <x:v>0.05280656032287139</x:v>
      </x:c>
      <x:c r="F18" s="8" t="n">
        <x:v>1475</x:v>
      </x:c>
      <x:c r="G18" s="8" t="n">
        <x:v>949</x:v>
      </x:c>
      <x:c r="H18" s="1" t="str">
        <x:v>Full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 t="str">
        <x:v>2011-08</x:v>
      </x:c>
      <x:c r="B19" s="6" t="n">
        <x:v>757841.38</x:v>
      </x:c>
      <x:c r="C19" s="6" t="n">
        <x:v>54330.8</x:v>
      </x:c>
      <x:c r="D19" s="6" t="n">
        <x:f>B19-C19</x:f>
        <x:v>703510.58</x:v>
      </x:c>
      <x:c r="E19" s="7" t="n">
        <x:f>IF(B19=0,"n.a.",C19/B19)</x:f>
        <x:v>0.07169151940475987</x:v>
      </x:c>
      <x:c r="F19" s="8" t="n">
        <x:v>1361</x:v>
      </x:c>
      <x:c r="G19" s="8" t="n">
        <x:v>935</x:v>
      </x:c>
      <x:c r="H19" s="1" t="str">
        <x:v>Full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2011-09</x:v>
      </x:c>
      <x:c r="B20" s="6" t="n">
        <x:v>1056435.192</x:v>
      </x:c>
      <x:c r="C20" s="6" t="n">
        <x:v>38838.51</x:v>
      </x:c>
      <x:c r="D20" s="6" t="n">
        <x:f>B20-C20</x:f>
        <x:v>1017596.682</x:v>
      </x:c>
      <x:c r="E20" s="7" t="n">
        <x:f>IF(B20=0,"n.a.",C20/B20)</x:f>
        <x:v>0.03676374120637965</x:v>
      </x:c>
      <x:c r="F20" s="8" t="n">
        <x:v>1837</x:v>
      </x:c>
      <x:c r="G20" s="8" t="n">
        <x:v>1266</x:v>
      </x:c>
      <x:c r="H20" s="1" t="str">
        <x:v>Full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str">
        <x:v>2011-10</x:v>
      </x:c>
      <x:c r="B21" s="6" t="n">
        <x:v>1151263.73</x:v>
      </x:c>
      <x:c r="C21" s="6" t="n">
        <x:v>81895.5</x:v>
      </x:c>
      <x:c r="D21" s="6" t="n">
        <x:f>B21-C21</x:f>
        <x:v>1069368.23</x:v>
      </x:c>
      <x:c r="E21" s="7" t="n">
        <x:f>IF(B21=0,"n.a.",C21/B21)</x:f>
        <x:v>0.07113530798021406</x:v>
      </x:c>
      <x:c r="F21" s="8" t="n">
        <x:v>2040</x:v>
      </x:c>
      <x:c r="G21" s="8" t="n">
        <x:v>1364</x:v>
      </x:c>
      <x:c r="H21" s="1" t="str">
        <x:v>Full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2011-11</x:v>
      </x:c>
      <x:c r="B22" s="6" t="n">
        <x:v>1503866.78</x:v>
      </x:c>
      <x:c r="C22" s="6" t="n">
        <x:v>47720.98</x:v>
      </x:c>
      <x:c r="D22" s="6" t="n">
        <x:f>B22-C22</x:f>
        <x:v>1456145.8</x:v>
      </x:c>
      <x:c r="E22" s="7" t="n">
        <x:f>IF(B22=0,"n.a.",C22/B22)</x:f>
        <x:v>0.03173218574586773</x:v>
      </x:c>
      <x:c r="F22" s="8" t="n">
        <x:v>2769</x:v>
      </x:c>
      <x:c r="G22" s="8" t="n">
        <x:v>1664</x:v>
      </x:c>
      <x:c r="H22" s="1" t="str">
        <x:v>Full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9" t="str">
        <x:v>2011-12</x:v>
      </x:c>
      <x:c r="B23" s="10" t="n">
        <x:v>637790.33</x:v>
      </x:c>
      <x:c r="C23" s="10" t="n">
        <x:v>205089.27</x:v>
      </x:c>
      <x:c r="D23" s="10" t="n">
        <x:f>B23-C23</x:f>
        <x:v>432701.05999999994</x:v>
      </x:c>
      <x:c r="E23" s="11" t="n">
        <x:f>IF(B23=0,"n.a.",C23/B23)</x:f>
        <x:v>0.32156221308654837</x:v>
      </x:c>
      <x:c r="F23" s="12" t="n">
        <x:v>819</x:v>
      </x:c>
      <x:c r="G23" s="12" t="n">
        <x:v>615</x:v>
      </x:c>
      <x:c r="H23" s="9" t="str">
        <x:v>Through Dec 9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Cancellation value is a value ratio, not a product-return rate. Records are not matched to original sales.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Transaction value is not profit or settled cash; the source does not contain those measures.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</x:sheetData>
  <x:pageMargins left="0.7" right="0.7" top="0.75" bottom="0.75" header="0.3" footer="0.3"/>
  <x:drawing xmlns:r="http://schemas.openxmlformats.org/officeDocument/2006/relationships" r:id="Rd142aebdc8fe41e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2" t="str">
        <x:v>Markets and cancellation value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Full source period, including partial December 2011; sorted by net transaction value.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2" customHeight="1">
      <x:c r="A6" s="5" t="str">
        <x:v>Country</x:v>
      </x:c>
      <x:c r="B6" s="5" t="str">
        <x:v>Gross GBP</x:v>
      </x:c>
      <x:c r="C6" s="5" t="str">
        <x:v>Cancelled GBP</x:v>
      </x:c>
      <x:c r="D6" s="5" t="str">
        <x:v>Net GBP</x:v>
      </x:c>
      <x:c r="E6" s="5" t="str">
        <x:v>Sales invoices</x:v>
      </x:c>
      <x:c r="F6" s="5" t="str">
        <x:v>Net share</x:v>
      </x:c>
      <x:c r="G6" s="5" t="str">
        <x:v>Cancel / gross</x:v>
      </x:c>
      <x:c r="H6" s="1"/>
      <x:c r="I6" s="1"/>
      <x:c r="J6" s="1"/>
      <x:c r="K6" s="1"/>
      <x:c r="L6" s="1"/>
      <x:c r="M6" s="1"/>
    </x:row>
    <x:row r="7" ht="23" customHeight="1">
      <x:c r="A7" s="1" t="str">
        <x:v>United Kingdom</x:v>
      </x:c>
      <x:c r="B7" s="6" t="n">
        <x:v>9001744.094</x:v>
      </x:c>
      <x:c r="C7" s="6" t="n">
        <x:v>812491.79</x:v>
      </x:c>
      <x:c r="D7" s="6" t="n">
        <x:f>B7-C7</x:f>
        <x:v>8189252.3040000005</x:v>
      </x:c>
      <x:c r="E7" s="1" t="n">
        <x:v>18019</x:v>
      </x:c>
      <x:c r="F7" s="7" t="n">
        <x:f>D7/SUM($D$7:$D$44)</x:f>
        <x:v>0.8400843445614089</x:v>
      </x:c>
      <x:c r="G7" s="7" t="n">
        <x:f>IF(B7=0,"n.a.",C7/B7)</x:f>
        <x:v>0.09025937435186102</x:v>
      </x:c>
      <x:c r="H7" s="1"/>
      <x:c r="I7" s="1"/>
      <x:c r="J7" s="1"/>
      <x:c r="K7" s="1"/>
      <x:c r="L7" s="1"/>
      <x:c r="M7" s="1"/>
    </x:row>
    <x:row r="8" ht="23" customHeight="1">
      <x:c r="A8" s="1" t="str">
        <x:v>Netherlands</x:v>
      </x:c>
      <x:c r="B8" s="6" t="n">
        <x:v>285446.34</x:v>
      </x:c>
      <x:c r="C8" s="6" t="n">
        <x:v>784.8</x:v>
      </x:c>
      <x:c r="D8" s="6" t="n">
        <x:f>B8-C8</x:f>
        <x:v>284661.54000000004</x:v>
      </x:c>
      <x:c r="E8" s="1" t="n">
        <x:v>94</x:v>
      </x:c>
      <x:c r="F8" s="7" t="n">
        <x:f>D8/SUM($D$7:$D$44)</x:f>
        <x:v>0.02920165289521422</x:v>
      </x:c>
      <x:c r="G8" s="7" t="n">
        <x:f>IF(B8=0,"n.a.",C8/B8)</x:f>
        <x:v>0.0027493783945521945</x:v>
      </x:c>
      <x:c r="H8" s="1"/>
      <x:c r="I8" s="1"/>
      <x:c r="J8" s="1"/>
      <x:c r="K8" s="1"/>
      <x:c r="L8" s="1"/>
      <x:c r="M8" s="1"/>
    </x:row>
    <x:row r="9" ht="23" customHeight="1">
      <x:c r="A9" s="1" t="str">
        <x:v>EIRE</x:v>
      </x:c>
      <x:c r="B9" s="6" t="n">
        <x:v>283140.52</x:v>
      </x:c>
      <x:c r="C9" s="6" t="n">
        <x:v>20147.14</x:v>
      </x:c>
      <x:c r="D9" s="6" t="n">
        <x:f>B9-C9</x:f>
        <x:v>262993.38</x:v>
      </x:c>
      <x:c r="E9" s="1" t="n">
        <x:v>288</x:v>
      </x:c>
      <x:c r="F9" s="7" t="n">
        <x:f>D9/SUM($D$7:$D$44)</x:f>
        <x:v>0.026978851433527594</x:v>
      </x:c>
      <x:c r="G9" s="7" t="n">
        <x:f>IF(B9=0,"n.a.",C9/B9)</x:f>
        <x:v>0.07115597583842821</x:v>
      </x:c>
      <x:c r="H9" s="1"/>
      <x:c r="I9" s="1"/>
      <x:c r="J9" s="1"/>
      <x:c r="K9" s="1"/>
      <x:c r="L9" s="1"/>
      <x:c r="M9" s="1"/>
    </x:row>
    <x:row r="10" ht="23" customHeight="1">
      <x:c r="A10" s="1" t="str">
        <x:v>Germany</x:v>
      </x:c>
      <x:c r="B10" s="6" t="n">
        <x:v>228678.4</x:v>
      </x:c>
      <x:c r="C10" s="6" t="n">
        <x:v>7168.93</x:v>
      </x:c>
      <x:c r="D10" s="6" t="n">
        <x:f>B10-C10</x:f>
        <x:v>221509.47</x:v>
      </x:c>
      <x:c r="E10" s="1" t="n">
        <x:v>457</x:v>
      </x:c>
      <x:c r="F10" s="7" t="n">
        <x:f>D10/SUM($D$7:$D$44)</x:f>
        <x:v>0.022723275704694307</x:v>
      </x:c>
      <x:c r="G10" s="7" t="n">
        <x:f>IF(B10=0,"n.a.",C10/B10)</x:f>
        <x:v>0.03134939723209538</x:v>
      </x:c>
      <x:c r="H10" s="1"/>
      <x:c r="I10" s="1"/>
      <x:c r="J10" s="1"/>
      <x:c r="K10" s="1"/>
      <x:c r="L10" s="1"/>
      <x:c r="M10" s="1"/>
    </x:row>
    <x:row r="11" ht="23" customHeight="1">
      <x:c r="A11" s="1" t="str">
        <x:v>France</x:v>
      </x:c>
      <x:c r="B11" s="6" t="n">
        <x:v>209625.37</x:v>
      </x:c>
      <x:c r="C11" s="6" t="n">
        <x:v>12308.26</x:v>
      </x:c>
      <x:c r="D11" s="6" t="n">
        <x:f>B11-C11</x:f>
        <x:v>197317.11</x:v>
      </x:c>
      <x:c r="E11" s="1" t="n">
        <x:v>392</x:v>
      </x:c>
      <x:c r="F11" s="7" t="n">
        <x:f>D11/SUM($D$7:$D$44)</x:f>
        <x:v>0.020241532300102085</x:v>
      </x:c>
      <x:c r="G11" s="7" t="n">
        <x:f>IF(B11=0,"n.a.",C11/B11)</x:f>
        <x:v>0.0587155075742979</x:v>
      </x:c>
      <x:c r="H11" s="1"/>
      <x:c r="I11" s="1"/>
      <x:c r="J11" s="1"/>
      <x:c r="K11" s="1"/>
      <x:c r="L11" s="1"/>
      <x:c r="M11" s="1"/>
    </x:row>
    <x:row r="12" ht="23" customHeight="1">
      <x:c r="A12" s="1" t="str">
        <x:v>Australia</x:v>
      </x:c>
      <x:c r="B12" s="6" t="n">
        <x:v>138453.81</x:v>
      </x:c>
      <x:c r="C12" s="6" t="n">
        <x:v>1444.04</x:v>
      </x:c>
      <x:c r="D12" s="6" t="n">
        <x:f>B12-C12</x:f>
        <x:v>137009.77</x:v>
      </x:c>
      <x:c r="E12" s="1" t="n">
        <x:v>57</x:v>
      </x:c>
      <x:c r="F12" s="7" t="n">
        <x:f>D12/SUM($D$7:$D$44)</x:f>
        <x:v>0.014054978227101327</x:v>
      </x:c>
      <x:c r="G12" s="7" t="n">
        <x:f>IF(B12=0,"n.a.",C12/B12)</x:f>
        <x:v>0.010429759932211327</x:v>
      </x:c>
      <x:c r="H12" s="1"/>
      <x:c r="I12" s="1"/>
      <x:c r="J12" s="1"/>
      <x:c r="K12" s="1"/>
      <x:c r="L12" s="1"/>
      <x:c r="M12" s="1"/>
    </x:row>
    <x:row r="13" ht="23" customHeight="1">
      <x:c r="A13" s="1" t="str">
        <x:v>Switzerland</x:v>
      </x:c>
      <x:c r="B13" s="6" t="n">
        <x:v>57067.6</x:v>
      </x:c>
      <x:c r="C13" s="6" t="n">
        <x:v>704.55</x:v>
      </x:c>
      <x:c r="D13" s="6" t="n">
        <x:f>B13-C13</x:f>
        <x:v>56363.049999999996</x:v>
      </x:c>
      <x:c r="E13" s="1" t="n">
        <x:v>54</x:v>
      </x:c>
      <x:c r="F13" s="7" t="n">
        <x:f>D13/SUM($D$7:$D$44)</x:f>
        <x:v>0.005781933949403925</x:v>
      </x:c>
      <x:c r="G13" s="7" t="n">
        <x:f>IF(B13=0,"n.a.",C13/B13)</x:f>
        <x:v>0.012345884529925912</x:v>
      </x:c>
      <x:c r="H13" s="1"/>
      <x:c r="I13" s="1"/>
      <x:c r="J13" s="1"/>
      <x:c r="K13" s="1"/>
      <x:c r="L13" s="1"/>
      <x:c r="M13" s="1"/>
    </x:row>
    <x:row r="14" ht="23" customHeight="1">
      <x:c r="A14" s="1" t="str">
        <x:v>Spain</x:v>
      </x:c>
      <x:c r="B14" s="6" t="n">
        <x:v>61558.56</x:v>
      </x:c>
      <x:c r="C14" s="6" t="n">
        <x:v>6802.53</x:v>
      </x:c>
      <x:c r="D14" s="6" t="n">
        <x:f>B14-C14</x:f>
        <x:v>54756.03</x:v>
      </x:c>
      <x:c r="E14" s="1" t="n">
        <x:v>90</x:v>
      </x:c>
      <x:c r="F14" s="7" t="n">
        <x:f>D14/SUM($D$7:$D$44)</x:f>
        <x:v>0.005617079785277409</x:v>
      </x:c>
      <x:c r="G14" s="7" t="n">
        <x:f>IF(B14=0,"n.a.",C14/B14)</x:f>
        <x:v>0.11050502155995852</x:v>
      </x:c>
      <x:c r="H14" s="1"/>
      <x:c r="I14" s="1"/>
      <x:c r="J14" s="1"/>
      <x:c r="K14" s="1"/>
      <x:c r="L14" s="1"/>
      <x:c r="M14" s="1"/>
    </x:row>
    <x:row r="15" ht="23" customHeight="1">
      <x:c r="A15" s="1" t="str">
        <x:v>Belgium</x:v>
      </x:c>
      <x:c r="B15" s="6" t="n">
        <x:v>41196.34</x:v>
      </x:c>
      <x:c r="C15" s="6" t="n">
        <x:v>285.38</x:v>
      </x:c>
      <x:c r="D15" s="6" t="n">
        <x:f>B15-C15</x:f>
        <x:v>40910.96</x:v>
      </x:c>
      <x:c r="E15" s="1" t="n">
        <x:v>98</x:v>
      </x:c>
      <x:c r="F15" s="7" t="n">
        <x:f>D15/SUM($D$7:$D$44)</x:f>
        <x:v>0.004196800359929174</x:v>
      </x:c>
      <x:c r="G15" s="7" t="n">
        <x:f>IF(B15=0,"n.a.",C15/B15)</x:f>
        <x:v>0.00692731441676615</x:v>
      </x:c>
      <x:c r="H15" s="1"/>
      <x:c r="I15" s="1"/>
      <x:c r="J15" s="1"/>
      <x:c r="K15" s="1"/>
      <x:c r="L15" s="1"/>
      <x:c r="M15" s="1"/>
    </x:row>
    <x:row r="16" ht="23" customHeight="1">
      <x:c r="A16" s="1" t="str">
        <x:v>Sweden</x:v>
      </x:c>
      <x:c r="B16" s="6" t="n">
        <x:v>38367.83</x:v>
      </x:c>
      <x:c r="C16" s="6" t="n">
        <x:v>1782.42</x:v>
      </x:c>
      <x:c r="D16" s="6" t="n">
        <x:f>B16-C16</x:f>
        <x:v>36585.41</x:v>
      </x:c>
      <x:c r="E16" s="1" t="n">
        <x:v>36</x:v>
      </x:c>
      <x:c r="F16" s="7" t="n">
        <x:f>D16/SUM($D$7:$D$44)</x:f>
        <x:v>0.003753069149591122</x:v>
      </x:c>
      <x:c r="G16" s="7" t="n">
        <x:f>IF(B16=0,"n.a.",C16/B16)</x:f>
        <x:v>0.046456106587211214</x:v>
      </x:c>
      <x:c r="H16" s="1"/>
      <x:c r="I16" s="1"/>
      <x:c r="J16" s="1"/>
      <x:c r="K16" s="1"/>
      <x:c r="L16" s="1"/>
      <x:c r="M16" s="1"/>
    </x:row>
    <x:row r="17" ht="23" customHeight="1">
      <x:c r="A17" s="1" t="str">
        <x:v>Japan</x:v>
      </x:c>
      <x:c r="B17" s="6" t="n">
        <x:v>37416.37</x:v>
      </x:c>
      <x:c r="C17" s="6" t="n">
        <x:v>2075.75</x:v>
      </x:c>
      <x:c r="D17" s="6" t="n">
        <x:f>B17-C17</x:f>
        <x:v>35340.62</x:v>
      </x:c>
      <x:c r="E17" s="1" t="n">
        <x:v>19</x:v>
      </x:c>
      <x:c r="F17" s="7" t="n">
        <x:f>D17/SUM($D$7:$D$44)</x:f>
        <x:v>0.003625373903133052</x:v>
      </x:c>
      <x:c r="G17" s="7" t="n">
        <x:f>IF(B17=0,"n.a.",C17/B17)</x:f>
        <x:v>0.05547705456194708</x:v>
      </x:c>
      <x:c r="H17" s="1"/>
      <x:c r="I17" s="1"/>
      <x:c r="J17" s="1"/>
      <x:c r="K17" s="1"/>
      <x:c r="L17" s="1"/>
      <x:c r="M17" s="1"/>
    </x:row>
    <x:row r="18" ht="23" customHeight="1">
      <x:c r="A18" s="1" t="str">
        <x:v>Norway</x:v>
      </x:c>
      <x:c r="B18" s="6" t="n">
        <x:v>36165.44</x:v>
      </x:c>
      <x:c r="C18" s="6" t="n">
        <x:v>1001.98</x:v>
      </x:c>
      <x:c r="D18" s="6" t="n">
        <x:f>B18-C18</x:f>
        <x:v>35163.46</x:v>
      </x:c>
      <x:c r="E18" s="1" t="n">
        <x:v>36</x:v>
      </x:c>
      <x:c r="F18" s="7" t="n">
        <x:f>D18/SUM($D$7:$D$44)</x:f>
        <x:v>0.0036072001630945622</x:v>
      </x:c>
      <x:c r="G18" s="7" t="n">
        <x:f>IF(B18=0,"n.a.",C18/B18)</x:f>
        <x:v>0.027705455816381605</x:v>
      </x:c>
      <x:c r="H18" s="1"/>
      <x:c r="I18" s="1"/>
      <x:c r="J18" s="1"/>
      <x:c r="K18" s="1"/>
      <x:c r="L18" s="1"/>
      <x:c r="M18" s="1"/>
    </x:row>
    <x:row r="19" ht="23" customHeight="1">
      <x:c r="A19" s="1" t="str">
        <x:v>Portugal</x:v>
      </x:c>
      <x:c r="B19" s="6" t="n">
        <x:v>33683.05</x:v>
      </x:c>
      <x:c r="C19" s="6" t="n">
        <x:v>4380.08</x:v>
      </x:c>
      <x:c r="D19" s="6" t="n">
        <x:f>B19-C19</x:f>
        <x:v>29302.97</x:v>
      </x:c>
      <x:c r="E19" s="1" t="n">
        <x:v>58</x:v>
      </x:c>
      <x:c r="F19" s="7" t="n">
        <x:f>D19/SUM($D$7:$D$44)</x:f>
        <x:v>0.003006009026505215</x:v>
      </x:c>
      <x:c r="G19" s="7" t="n">
        <x:f>IF(B19=0,"n.a.",C19/B19)</x:f>
        <x:v>0.13003810521909387</x:v>
      </x:c>
      <x:c r="H19" s="1"/>
      <x:c r="I19" s="1"/>
      <x:c r="J19" s="1"/>
      <x:c r="K19" s="1"/>
      <x:c r="L19" s="1"/>
      <x:c r="M19" s="1"/>
    </x:row>
    <x:row r="20" ht="23" customHeight="1">
      <x:c r="A20" s="1" t="str">
        <x:v>Finland</x:v>
      </x:c>
      <x:c r="B20" s="6" t="n">
        <x:v>22546.08</x:v>
      </x:c>
      <x:c r="C20" s="6" t="n">
        <x:v>219.34</x:v>
      </x:c>
      <x:c r="D20" s="6" t="n">
        <x:f>B20-C20</x:f>
        <x:v>22326.74</x:v>
      </x:c>
      <x:c r="E20" s="1" t="n">
        <x:v>41</x:v>
      </x:c>
      <x:c r="F20" s="7" t="n">
        <x:f>D20/SUM($D$7:$D$44)</x:f>
        <x:v>0.002290361078499382</x:v>
      </x:c>
      <x:c r="G20" s="7" t="n">
        <x:f>IF(B20=0,"n.a.",C20/B20)</x:f>
        <x:v>0.009728520434594394</x:v>
      </x:c>
      <x:c r="H20" s="1"/>
      <x:c r="I20" s="1"/>
      <x:c r="J20" s="1"/>
      <x:c r="K20" s="1"/>
      <x:c r="L20" s="1"/>
      <x:c r="M20" s="1"/>
    </x:row>
    <x:row r="21" ht="23" customHeight="1">
      <x:c r="A21" s="1" t="str">
        <x:v>Channel Islands</x:v>
      </x:c>
      <x:c r="B21" s="6" t="n">
        <x:v>20440.54</x:v>
      </x:c>
      <x:c r="C21" s="6" t="n">
        <x:v>364.15</x:v>
      </x:c>
      <x:c r="D21" s="6" t="n">
        <x:f>B21-C21</x:f>
        <x:v>20076.39</x:v>
      </x:c>
      <x:c r="E21" s="1" t="n">
        <x:v>26</x:v>
      </x:c>
      <x:c r="F21" s="7" t="n">
        <x:f>D21/SUM($D$7:$D$44)</x:f>
        <x:v>0.002059511699996247</x:v>
      </x:c>
      <x:c r="G21" s="7" t="n">
        <x:f>IF(B21=0,"n.a.",C21/B21)</x:f>
        <x:v>0.01781508707695589</x:v>
      </x:c>
      <x:c r="H21" s="1"/>
      <x:c r="I21" s="1"/>
      <x:c r="J21" s="1"/>
      <x:c r="K21" s="1"/>
      <x:c r="L21" s="1"/>
      <x:c r="M21" s="1"/>
    </x:row>
    <x:row r="22" ht="23" customHeight="1">
      <x:c r="A22" s="1" t="str">
        <x:v>Denmark</x:v>
      </x:c>
      <x:c r="B22" s="6" t="n">
        <x:v>18955.34</x:v>
      </x:c>
      <x:c r="C22" s="6" t="n">
        <x:v>187.2</x:v>
      </x:c>
      <x:c r="D22" s="6" t="n">
        <x:f>B22-C22</x:f>
        <x:v>18768.14</x:v>
      </x:c>
      <x:c r="E22" s="1" t="n">
        <x:v>18</x:v>
      </x:c>
      <x:c r="F22" s="7" t="n">
        <x:f>D22/SUM($D$7:$D$44)</x:f>
        <x:v>0.0019253064877284992</x:v>
      </x:c>
      <x:c r="G22" s="7" t="n">
        <x:f>IF(B22=0,"n.a.",C22/B22)</x:f>
        <x:v>0.009875845012540001</x:v>
      </x:c>
      <x:c r="H22" s="1"/>
      <x:c r="I22" s="1"/>
      <x:c r="J22" s="1"/>
      <x:c r="K22" s="1"/>
      <x:c r="L22" s="1"/>
      <x:c r="M22" s="1"/>
    </x:row>
    <x:row r="23" ht="23" customHeight="1">
      <x:c r="A23" s="1" t="str">
        <x:v>Italy</x:v>
      </x:c>
      <x:c r="B23" s="6" t="n">
        <x:v>17483.24</x:v>
      </x:c>
      <x:c r="C23" s="6" t="n">
        <x:v>592.73</x:v>
      </x:c>
      <x:c r="D23" s="6" t="n">
        <x:f>B23-C23</x:f>
        <x:v>16890.510000000002</x:v>
      </x:c>
      <x:c r="E23" s="1" t="n">
        <x:v>38</x:v>
      </x:c>
      <x:c r="F23" s="7" t="n">
        <x:f>D23/SUM($D$7:$D$44)</x:f>
        <x:v>0.0017326921306023452</x:v>
      </x:c>
      <x:c r="G23" s="7" t="n">
        <x:f>IF(B23=0,"n.a.",C23/B23)</x:f>
        <x:v>0.033902754866946855</x:v>
      </x:c>
      <x:c r="H23" s="1"/>
      <x:c r="I23" s="1"/>
      <x:c r="J23" s="1"/>
      <x:c r="K23" s="1"/>
      <x:c r="L23" s="1"/>
      <x:c r="M23" s="1"/>
    </x:row>
    <x:row r="24" ht="23" customHeight="1">
      <x:c r="A24" s="1" t="str">
        <x:v>Cyprus</x:v>
      </x:c>
      <x:c r="B24" s="6" t="n">
        <x:v>13502.85</x:v>
      </x:c>
      <x:c r="C24" s="6" t="n">
        <x:v>644.09</x:v>
      </x:c>
      <x:c r="D24" s="6" t="n">
        <x:f>B24-C24</x:f>
        <x:v>12858.76</x:v>
      </x:c>
      <x:c r="E24" s="1" t="n">
        <x:v>16</x:v>
      </x:c>
      <x:c r="F24" s="7" t="n">
        <x:f>D24/SUM($D$7:$D$44)</x:f>
        <x:v>0.0013191000308045292</x:v>
      </x:c>
      <x:c r="G24" s="7" t="n">
        <x:f>IF(B24=0,"n.a.",C24/B24)</x:f>
        <x:v>0.04770030030697223</x:v>
      </x:c>
      <x:c r="H24" s="1"/>
      <x:c r="I24" s="1"/>
      <x:c r="J24" s="1"/>
      <x:c r="K24" s="1"/>
      <x:c r="L24" s="1"/>
      <x:c r="M24" s="1"/>
    </x:row>
    <x:row r="25" ht="23" customHeight="1">
      <x:c r="A25" s="1" t="str">
        <x:v>Austria</x:v>
      </x:c>
      <x:c r="B25" s="6" t="n">
        <x:v>10198.68</x:v>
      </x:c>
      <x:c r="C25" s="6" t="n">
        <x:v>44.36</x:v>
      </x:c>
      <x:c r="D25" s="6" t="n">
        <x:f>B25-C25</x:f>
        <x:v>10154.32</x:v>
      </x:c>
      <x:c r="E25" s="1" t="n">
        <x:v>17</x:v>
      </x:c>
      <x:c r="F25" s="7" t="n">
        <x:f>D25/SUM($D$7:$D$44)</x:f>
        <x:v>0.0010416683898602235</x:v>
      </x:c>
      <x:c r="G25" s="7" t="n">
        <x:f>IF(B25=0,"n.a.",C25/B25)</x:f>
        <x:v>0.004349582494989548</x:v>
      </x:c>
      <x:c r="H25" s="1"/>
      <x:c r="I25" s="1"/>
      <x:c r="J25" s="1"/>
      <x:c r="K25" s="1"/>
      <x:c r="L25" s="1"/>
      <x:c r="M25" s="1"/>
    </x:row>
    <x:row r="26" ht="23" customHeight="1">
      <x:c r="A26" s="1" t="str">
        <x:v>Hong Kong</x:v>
      </x:c>
      <x:c r="B26" s="6" t="n">
        <x:v>15483</x:v>
      </x:c>
      <x:c r="C26" s="6" t="n">
        <x:v>5574.76</x:v>
      </x:c>
      <x:c r="D26" s="6" t="n">
        <x:f>B26-C26</x:f>
        <x:v>9908.24</x:v>
      </x:c>
      <x:c r="E26" s="1" t="n">
        <x:v>11</x:v>
      </x:c>
      <x:c r="F26" s="7" t="n">
        <x:f>D26/SUM($D$7:$D$44)</x:f>
        <x:v>0.0010164245766480335</x:v>
      </x:c>
      <x:c r="G26" s="7" t="n">
        <x:f>IF(B26=0,"n.a.",C26/B26)</x:f>
        <x:v>0.36005683653038817</x:v>
      </x:c>
      <x:c r="H26" s="1"/>
      <x:c r="I26" s="1"/>
      <x:c r="J26" s="1"/>
      <x:c r="K26" s="1"/>
      <x:c r="L26" s="1"/>
      <x:c r="M26" s="1"/>
    </x:row>
    <x:row r="27" ht="23" customHeight="1">
      <x:c r="A27" s="1" t="str">
        <x:v>Singapore</x:v>
      </x:c>
      <x:c r="B27" s="6" t="n">
        <x:v>21279.29</x:v>
      </x:c>
      <x:c r="C27" s="6" t="n">
        <x:v>12158.9</x:v>
      </x:c>
      <x:c r="D27" s="6" t="n">
        <x:f>B27-C27</x:f>
        <x:v>9120.390000000001</x:v>
      </x:c>
      <x:c r="E27" s="1" t="n">
        <x:v>7</x:v>
      </x:c>
      <x:c r="F27" s="7" t="n">
        <x:f>D27/SUM($D$7:$D$44)</x:f>
        <x:v>0.0009356039563651023</x:v>
      </x:c>
      <x:c r="G27" s="7" t="n">
        <x:f>IF(B27=0,"n.a.",C27/B27)</x:f>
        <x:v>0.5713959441315946</x:v>
      </x:c>
      <x:c r="H27" s="1"/>
      <x:c r="I27" s="1"/>
      <x:c r="J27" s="1"/>
      <x:c r="K27" s="1"/>
      <x:c r="L27" s="1"/>
      <x:c r="M27" s="1"/>
    </x:row>
    <x:row r="28" ht="23" customHeight="1">
      <x:c r="A28" s="1" t="str">
        <x:v>Israel</x:v>
      </x:c>
      <x:c r="B28" s="6" t="n">
        <x:v>8129.41</x:v>
      </x:c>
      <x:c r="C28" s="6" t="n">
        <x:v>227.44</x:v>
      </x:c>
      <x:c r="D28" s="6" t="n">
        <x:f>B28-C28</x:f>
        <x:v>7901.97</x:v>
      </x:c>
      <x:c r="E28" s="1" t="n">
        <x:v>8</x:v>
      </x:c>
      <x:c r="F28" s="7" t="n">
        <x:f>D28/SUM($D$7:$D$44)</x:f>
        <x:v>0.0008106138438244797</x:v>
      </x:c>
      <x:c r="G28" s="7" t="n">
        <x:f>IF(B28=0,"n.a.",C28/B28)</x:f>
        <x:v>0.02797743009640306</x:v>
      </x:c>
      <x:c r="H28" s="1"/>
      <x:c r="I28" s="1"/>
      <x:c r="J28" s="1"/>
      <x:c r="K28" s="1"/>
      <x:c r="L28" s="1"/>
      <x:c r="M28" s="1"/>
    </x:row>
    <x:row r="29" ht="23" customHeight="1">
      <x:c r="A29" s="1" t="str">
        <x:v>Poland</x:v>
      </x:c>
      <x:c r="B29" s="6" t="n">
        <x:v>7334.65</x:v>
      </x:c>
      <x:c r="C29" s="6" t="n">
        <x:v>121.51</x:v>
      </x:c>
      <x:c r="D29" s="6" t="n">
        <x:f>B29-C29</x:f>
        <x:v>7213.139999999999</x:v>
      </x:c>
      <x:c r="E29" s="1" t="n">
        <x:v>19</x:v>
      </x:c>
      <x:c r="F29" s="7" t="n">
        <x:f>D29/SUM($D$7:$D$44)</x:f>
        <x:v>0.0007399510680810111</x:v>
      </x:c>
      <x:c r="G29" s="7" t="n">
        <x:f>IF(B29=0,"n.a.",C29/B29)</x:f>
        <x:v>0.01656657100202464</x:v>
      </x:c>
      <x:c r="H29" s="1"/>
      <x:c r="I29" s="1"/>
      <x:c r="J29" s="1"/>
      <x:c r="K29" s="1"/>
      <x:c r="L29" s="1"/>
      <x:c r="M29" s="1"/>
    </x:row>
    <x:row r="30" ht="23" customHeight="1">
      <x:c r="A30" s="1" t="str">
        <x:v>Unspecified</x:v>
      </x:c>
      <x:c r="B30" s="6" t="n">
        <x:v>4740.94</x:v>
      </x:c>
      <x:c r="C30" s="6" t="n">
        <x:v>0</x:v>
      </x:c>
      <x:c r="D30" s="6" t="n">
        <x:f>B30-C30</x:f>
        <x:v>4740.94</x:v>
      </x:c>
      <x:c r="E30" s="1" t="n">
        <x:v>13</x:v>
      </x:c>
      <x:c r="F30" s="7" t="n">
        <x:f>D30/SUM($D$7:$D$44)</x:f>
        <x:v>0.0004863434810232421</x:v>
      </x:c>
      <x:c r="G30" s="7" t="n">
        <x:f>IF(B30=0,"n.a.",C30/B30)</x:f>
        <x:v>0</x:v>
      </x:c>
      <x:c r="H30" s="1"/>
      <x:c r="I30" s="1"/>
      <x:c r="J30" s="1"/>
      <x:c r="K30" s="1"/>
      <x:c r="L30" s="1"/>
      <x:c r="M30" s="1"/>
    </x:row>
    <x:row r="31" ht="23" customHeight="1">
      <x:c r="A31" s="1" t="str">
        <x:v>Greece</x:v>
      </x:c>
      <x:c r="B31" s="6" t="n">
        <x:v>4760.52</x:v>
      </x:c>
      <x:c r="C31" s="6" t="n">
        <x:v>50</x:v>
      </x:c>
      <x:c r="D31" s="6" t="n">
        <x:f>B31-C31</x:f>
        <x:v>4710.52</x:v>
      </x:c>
      <x:c r="E31" s="1" t="n">
        <x:v>5</x:v>
      </x:c>
      <x:c r="F31" s="7" t="n">
        <x:f>D31/SUM($D$7:$D$44)</x:f>
        <x:v>0.00048322288285226195</x:v>
      </x:c>
      <x:c r="G31" s="7" t="n">
        <x:f>IF(B31=0,"n.a.",C31/B31)</x:f>
        <x:v>0.010503054288187003</x:v>
      </x:c>
      <x:c r="H31" s="1"/>
      <x:c r="I31" s="1"/>
      <x:c r="J31" s="1"/>
      <x:c r="K31" s="1"/>
      <x:c r="L31" s="1"/>
      <x:c r="M31" s="1"/>
    </x:row>
    <x:row r="32" ht="23" customHeight="1">
      <x:c r="A32" s="1" t="str">
        <x:v>Iceland</x:v>
      </x:c>
      <x:c r="B32" s="6" t="n">
        <x:v>4310</x:v>
      </x:c>
      <x:c r="C32" s="6" t="n">
        <x:v>0</x:v>
      </x:c>
      <x:c r="D32" s="6" t="n">
        <x:f>B32-C32</x:f>
        <x:v>4310</x:v>
      </x:c>
      <x:c r="E32" s="1" t="n">
        <x:v>7</x:v>
      </x:c>
      <x:c r="F32" s="7" t="n">
        <x:f>D32/SUM($D$7:$D$44)</x:f>
        <x:v>0.00044213603277201853</x:v>
      </x:c>
      <x:c r="G32" s="7" t="n">
        <x:f>IF(B32=0,"n.a.",C32/B32)</x:f>
        <x:v>0</x:v>
      </x:c>
      <x:c r="H32" s="1"/>
      <x:c r="I32" s="1"/>
      <x:c r="J32" s="1"/>
      <x:c r="K32" s="1"/>
      <x:c r="L32" s="1"/>
      <x:c r="M32" s="1"/>
    </x:row>
    <x:row r="33" ht="23" customHeight="1">
      <x:c r="A33" s="1" t="str">
        <x:v>Canada</x:v>
      </x:c>
      <x:c r="B33" s="6" t="n">
        <x:v>3666.38</x:v>
      </x:c>
      <x:c r="C33" s="6" t="n">
        <x:v>0</x:v>
      </x:c>
      <x:c r="D33" s="6" t="n">
        <x:f>B33-C33</x:f>
        <x:v>3666.38</x:v>
      </x:c>
      <x:c r="E33" s="1" t="n">
        <x:v>6</x:v>
      </x:c>
      <x:c r="F33" s="7" t="n">
        <x:f>D33/SUM($D$7:$D$44)</x:f>
        <x:v>0.0003761110691031725</x:v>
      </x:c>
      <x:c r="G33" s="7" t="n">
        <x:f>IF(B33=0,"n.a.",C33/B33)</x:f>
        <x:v>0</x:v>
      </x:c>
      <x:c r="H33" s="1"/>
      <x:c r="I33" s="1"/>
      <x:c r="J33" s="1"/>
      <x:c r="K33" s="1"/>
      <x:c r="L33" s="1"/>
      <x:c r="M33" s="1"/>
    </x:row>
    <x:row r="34" ht="23" customHeight="1">
      <x:c r="A34" s="1" t="str">
        <x:v>Malta</x:v>
      </x:c>
      <x:c r="B34" s="6" t="n">
        <x:v>2725.59</x:v>
      </x:c>
      <x:c r="C34" s="6" t="n">
        <x:v>220.12</x:v>
      </x:c>
      <x:c r="D34" s="6" t="n">
        <x:f>B34-C34</x:f>
        <x:v>2505.4700000000003</x:v>
      </x:c>
      <x:c r="E34" s="1" t="n">
        <x:v>5</x:v>
      </x:c>
      <x:c r="F34" s="7" t="n">
        <x:f>D34/SUM($D$7:$D$44)</x:f>
        <x:v>0.0002570205489627168</x:v>
      </x:c>
      <x:c r="G34" s="7" t="n">
        <x:f>IF(B34=0,"n.a.",C34/B34)</x:f>
        <x:v>0.08076049589263241</x:v>
      </x:c>
      <x:c r="H34" s="1"/>
      <x:c r="I34" s="1"/>
      <x:c r="J34" s="1"/>
      <x:c r="K34" s="1"/>
      <x:c r="L34" s="1"/>
      <x:c r="M34" s="1"/>
    </x:row>
    <x:row r="35" ht="23" customHeight="1">
      <x:c r="A35" s="1" t="str">
        <x:v>United Arab Emirates</x:v>
      </x:c>
      <x:c r="B35" s="6" t="n">
        <x:v>1902.28</x:v>
      </x:c>
      <x:c r="C35" s="6" t="n">
        <x:v>0</x:v>
      </x:c>
      <x:c r="D35" s="6" t="n">
        <x:f>B35-C35</x:f>
        <x:v>1902.28</x:v>
      </x:c>
      <x:c r="E35" s="1" t="n">
        <x:v>3</x:v>
      </x:c>
      <x:c r="F35" s="7" t="n">
        <x:f>D35/SUM($D$7:$D$44)</x:f>
        <x:v>0.0001951430469655581</x:v>
      </x:c>
      <x:c r="G35" s="7" t="n">
        <x:f>IF(B35=0,"n.a.",C35/B35)</x:f>
        <x:v>0</x:v>
      </x:c>
      <x:c r="H35" s="1"/>
      <x:c r="I35" s="1"/>
      <x:c r="J35" s="1"/>
      <x:c r="K35" s="1"/>
      <x:c r="L35" s="1"/>
      <x:c r="M35" s="1"/>
    </x:row>
    <x:row r="36" ht="23" customHeight="1">
      <x:c r="A36" s="1" t="str">
        <x:v>USA</x:v>
      </x:c>
      <x:c r="B36" s="6" t="n">
        <x:v>3580.39</x:v>
      </x:c>
      <x:c r="C36" s="6" t="n">
        <x:v>1849.47</x:v>
      </x:c>
      <x:c r="D36" s="6" t="n">
        <x:f>B36-C36</x:f>
        <x:v>1730.9199999999998</x:v>
      </x:c>
      <x:c r="E36" s="1" t="n">
        <x:v>5</x:v>
      </x:c>
      <x:c r="F36" s="7" t="n">
        <x:f>D36/SUM($D$7:$D$44)</x:f>
        <x:v>0.00017756429277163393</x:v>
      </x:c>
      <x:c r="G36" s="7" t="n">
        <x:f>IF(B36=0,"n.a.",C36/B36)</x:f>
        <x:v>0.5165554590421714</x:v>
      </x:c>
      <x:c r="H36" s="1"/>
      <x:c r="I36" s="1"/>
      <x:c r="J36" s="1"/>
      <x:c r="K36" s="1"/>
      <x:c r="L36" s="1"/>
      <x:c r="M36" s="1"/>
    </x:row>
    <x:row r="37" ht="23" customHeight="1">
      <x:c r="A37" s="1" t="str">
        <x:v>Lebanon</x:v>
      </x:c>
      <x:c r="B37" s="6" t="n">
        <x:v>1693.88</x:v>
      </x:c>
      <x:c r="C37" s="6" t="n">
        <x:v>0</x:v>
      </x:c>
      <x:c r="D37" s="6" t="n">
        <x:f>B37-C37</x:f>
        <x:v>1693.88</x:v>
      </x:c>
      <x:c r="E37" s="1" t="n">
        <x:v>1</x:v>
      </x:c>
      <x:c r="F37" s="7" t="n">
        <x:f>D37/SUM($D$7:$D$44)</x:f>
        <x:v>0.0001737645900677185</x:v>
      </x:c>
      <x:c r="G37" s="7" t="n">
        <x:f>IF(B37=0,"n.a.",C37/B37)</x:f>
        <x:v>0</x:v>
      </x:c>
      <x:c r="H37" s="1"/>
      <x:c r="I37" s="1"/>
      <x:c r="J37" s="1"/>
      <x:c r="K37" s="1"/>
      <x:c r="L37" s="1"/>
      <x:c r="M37" s="1"/>
    </x:row>
    <x:row r="38" ht="23" customHeight="1">
      <x:c r="A38" s="1" t="str">
        <x:v>Lithuania</x:v>
      </x:c>
      <x:c r="B38" s="6" t="n">
        <x:v>1661.06</x:v>
      </x:c>
      <x:c r="C38" s="6" t="n">
        <x:v>0</x:v>
      </x:c>
      <x:c r="D38" s="6" t="n">
        <x:f>B38-C38</x:f>
        <x:v>1661.06</x:v>
      </x:c>
      <x:c r="E38" s="1" t="n">
        <x:v>4</x:v>
      </x:c>
      <x:c r="F38" s="7" t="n">
        <x:f>D38/SUM($D$7:$D$44)</x:f>
        <x:v>0.00017039779085760768</x:v>
      </x:c>
      <x:c r="G38" s="7" t="n">
        <x:f>IF(B38=0,"n.a.",C38/B38)</x:f>
        <x:v>0</x:v>
      </x:c>
      <x:c r="H38" s="1"/>
      <x:c r="I38" s="1"/>
      <x:c r="J38" s="1"/>
      <x:c r="K38" s="1"/>
      <x:c r="L38" s="1"/>
      <x:c r="M38" s="1"/>
    </x:row>
    <x:row r="39" ht="23" customHeight="1">
      <x:c r="A39" s="1" t="str">
        <x:v>European Community</x:v>
      </x:c>
      <x:c r="B39" s="6" t="n">
        <x:v>1300.25</x:v>
      </x:c>
      <x:c r="C39" s="6" t="n">
        <x:v>8.5</x:v>
      </x:c>
      <x:c r="D39" s="6" t="n">
        <x:f>B39-C39</x:f>
        <x:v>1291.75</x:v>
      </x:c>
      <x:c r="E39" s="1" t="n">
        <x:v>4</x:v>
      </x:c>
      <x:c r="F39" s="7" t="n">
        <x:f>D39/SUM($D$7:$D$44)</x:f>
        <x:v>0.00013251258012372504</x:v>
      </x:c>
      <x:c r="G39" s="7" t="n">
        <x:f>IF(B39=0,"n.a.",C39/B39)</x:f>
        <x:v>0.006537204383772351</x:v>
      </x:c>
      <x:c r="H39" s="1"/>
      <x:c r="I39" s="1"/>
      <x:c r="J39" s="1"/>
      <x:c r="K39" s="1"/>
      <x:c r="L39" s="1"/>
      <x:c r="M39" s="1"/>
    </x:row>
    <x:row r="40" ht="23" customHeight="1">
      <x:c r="A40" s="1" t="str">
        <x:v>Brazil</x:v>
      </x:c>
      <x:c r="B40" s="6" t="n">
        <x:v>1143.6</x:v>
      </x:c>
      <x:c r="C40" s="6" t="n">
        <x:v>0</x:v>
      </x:c>
      <x:c r="D40" s="6" t="n">
        <x:f>B40-C40</x:f>
        <x:v>1143.6</x:v>
      </x:c>
      <x:c r="E40" s="1" t="n">
        <x:v>1</x:v>
      </x:c>
      <x:c r="F40" s="7" t="n">
        <x:f>D40/SUM($D$7:$D$44)</x:f>
        <x:v>0.0001173147951457263</x:v>
      </x:c>
      <x:c r="G40" s="7" t="n">
        <x:f>IF(B40=0,"n.a.",C40/B40)</x:f>
        <x:v>0</x:v>
      </x:c>
      <x:c r="H40" s="1"/>
      <x:c r="I40" s="1"/>
      <x:c r="J40" s="1"/>
      <x:c r="K40" s="1"/>
      <x:c r="L40" s="1"/>
      <x:c r="M40" s="1"/>
    </x:row>
    <x:row r="41" ht="23" customHeight="1">
      <x:c r="A41" s="1" t="str">
        <x:v>RSA</x:v>
      </x:c>
      <x:c r="B41" s="6" t="n">
        <x:v>1002.31</x:v>
      </x:c>
      <x:c r="C41" s="6" t="n">
        <x:v>0</x:v>
      </x:c>
      <x:c r="D41" s="6" t="n">
        <x:f>B41-C41</x:f>
        <x:v>1002.31</x:v>
      </x:c>
      <x:c r="E41" s="1" t="n">
        <x:v>1</x:v>
      </x:c>
      <x:c r="F41" s="7" t="n">
        <x:f>D41/SUM($D$7:$D$44)</x:f>
        <x:v>0.00010282073480457584</x:v>
      </x:c>
      <x:c r="G41" s="7" t="n">
        <x:f>IF(B41=0,"n.a.",C41/B41)</x:f>
        <x:v>0</x:v>
      </x:c>
      <x:c r="H41" s="1"/>
      <x:c r="I41" s="1"/>
      <x:c r="J41" s="1"/>
      <x:c r="K41" s="1"/>
      <x:c r="L41" s="1"/>
      <x:c r="M41" s="1"/>
    </x:row>
    <x:row r="42" ht="23" customHeight="1">
      <x:c r="A42" s="1" t="str">
        <x:v>Czech Republic</x:v>
      </x:c>
      <x:c r="B42" s="6" t="n">
        <x:v>826.74</x:v>
      </x:c>
      <x:c r="C42" s="6" t="n">
        <x:v>119.02</x:v>
      </x:c>
      <x:c r="D42" s="6" t="n">
        <x:f>B42-C42</x:f>
        <x:v>707.72</x:v>
      </x:c>
      <x:c r="E42" s="1" t="n">
        <x:v>2</x:v>
      </x:c>
      <x:c r="F42" s="7" t="n">
        <x:f>D42/SUM($D$7:$D$44)</x:f>
        <x:v>0.00007260058308895893</x:v>
      </x:c>
      <x:c r="G42" s="7" t="n">
        <x:f>IF(B42=0,"n.a.",C42/B42)</x:f>
        <x:v>0.14396303553717008</x:v>
      </x:c>
      <x:c r="H42" s="1"/>
      <x:c r="I42" s="1"/>
      <x:c r="J42" s="1"/>
      <x:c r="K42" s="1"/>
      <x:c r="L42" s="1"/>
      <x:c r="M42" s="1"/>
    </x:row>
    <x:row r="43" ht="23" customHeight="1">
      <x:c r="A43" s="1" t="str">
        <x:v>Bahrain</x:v>
      </x:c>
      <x:c r="B43" s="6" t="n">
        <x:v>754.14</x:v>
      </x:c>
      <x:c r="C43" s="6" t="n">
        <x:v>205.74</x:v>
      </x:c>
      <x:c r="D43" s="6" t="n">
        <x:f>B43-C43</x:f>
        <x:v>548.4</x:v>
      </x:c>
      <x:c r="E43" s="1" t="n">
        <x:v>3</x:v>
      </x:c>
      <x:c r="F43" s="7" t="n">
        <x:f>D43/SUM($D$7:$D$44)</x:f>
        <x:v>0.0000562569374413399</x:v>
      </x:c>
      <x:c r="G43" s="7" t="n">
        <x:f>IF(B43=0,"n.a.",C43/B43)</x:f>
        <x:v>0.27281406635372746</x:v>
      </x:c>
      <x:c r="H43" s="1"/>
      <x:c r="I43" s="1"/>
      <x:c r="J43" s="1"/>
      <x:c r="K43" s="1"/>
      <x:c r="L43" s="1"/>
      <x:c r="M43" s="1"/>
    </x:row>
    <x:row r="44" ht="23" customHeight="1">
      <x:c r="A44" s="1" t="str">
        <x:v>Saudi Arabia</x:v>
      </x:c>
      <x:c r="B44" s="6" t="n">
        <x:v>145.92</x:v>
      </x:c>
      <x:c r="C44" s="6" t="n">
        <x:v>14.75</x:v>
      </x:c>
      <x:c r="D44" s="6" t="n">
        <x:f>B44-C44</x:f>
        <x:v>131.17</x:v>
      </x:c>
      <x:c r="E44" s="1" t="n">
        <x:v>1</x:v>
      </x:c>
      <x:c r="F44" s="7" t="n">
        <x:f>D44/SUM($D$7:$D$44)</x:f>
        <x:v>0.000013455912626149806</x:v>
      </x:c>
      <x:c r="G44" s="7" t="n">
        <x:f>IF(B44=0,"n.a.",C44/B44)</x:f>
        <x:v>0.10108278508771931</x:v>
      </x:c>
      <x:c r="H44" s="1"/>
      <x:c r="I44" s="1"/>
      <x:c r="J44" s="1"/>
      <x:c r="K44" s="1"/>
      <x:c r="L44" s="1"/>
      <x:c r="M44" s="1"/>
    </x:row>
  </x:sheetData>
  <x:pageMargins left="0.7" right="0.7" top="0.75" bottom="0.75" header="0.3" footer="0.3"/>
  <x:tableParts count="1">
    <x:tablePart xmlns:r="http://schemas.openxmlformats.org/officeDocument/2006/relationships" r:id="Re655d194ea5a4c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2" t="str">
        <x:v>Observed customer retention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First observed purchase cohort; identified buyers only; December 2011 excluded.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 t="str">
        <x:v>Blank = period not observed. Zero = observed month with no repeat purchasers.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5" t="str">
        <x:v>Cohort</x:v>
      </x:c>
      <x:c r="B6" s="5" t="str">
        <x:v>Month 0</x:v>
      </x:c>
      <x:c r="C6" s="5" t="str">
        <x:v>Month 1</x:v>
      </x:c>
      <x:c r="D6" s="5" t="str">
        <x:v>Month 2</x:v>
      </x:c>
      <x:c r="E6" s="5" t="str">
        <x:v>Month 3</x:v>
      </x:c>
      <x:c r="F6" s="5" t="str">
        <x:v>Month 4</x:v>
      </x:c>
      <x:c r="G6" s="5" t="str">
        <x:v>Month 5</x:v>
      </x:c>
      <x:c r="H6" s="5" t="str">
        <x:v>Month 6</x:v>
      </x:c>
      <x:c r="I6" s="5" t="str">
        <x:v>Month 7</x:v>
      </x:c>
      <x:c r="J6" s="5" t="str">
        <x:v>Month 8</x:v>
      </x:c>
      <x:c r="K6" s="5" t="str">
        <x:v>Month 9</x:v>
      </x:c>
      <x:c r="L6" s="5" t="str">
        <x:v>Month 10</x:v>
      </x:c>
      <x:c r="M6" s="5" t="str">
        <x:v>Month 11</x:v>
      </x:c>
      <x:c r="N6" s="5" t="str">
        <x:v>Cohort size</x:v>
      </x:c>
    </x:row>
    <x:row r="7" ht="23" customHeight="1">
      <x:c r="A7" s="1" t="str">
        <x:f>A25</x:f>
        <x:v>2010-12</x:v>
      </x:c>
      <x:c r="B7" s="14" t="n">
        <x:f>B25/$N25</x:f>
        <x:v>1</x:v>
      </x:c>
      <x:c r="C7" s="14" t="n">
        <x:f>C25/$N25</x:f>
        <x:v>0.36610169491525424</x:v>
      </x:c>
      <x:c r="D7" s="14" t="n">
        <x:f>D25/$N25</x:f>
        <x:v>0.3231638418079096</x:v>
      </x:c>
      <x:c r="E7" s="14" t="n">
        <x:f>E25/$N25</x:f>
        <x:v>0.384180790960452</x:v>
      </x:c>
      <x:c r="F7" s="14" t="n">
        <x:f>F25/$N25</x:f>
        <x:v>0.36271186440677966</x:v>
      </x:c>
      <x:c r="G7" s="14" t="n">
        <x:f>G25/$N25</x:f>
        <x:v>0.3977401129943503</x:v>
      </x:c>
      <x:c r="H7" s="14" t="n">
        <x:f>H25/$N25</x:f>
        <x:v>0.36271186440677966</x:v>
      </x:c>
      <x:c r="I7" s="14" t="n">
        <x:f>I25/$N25</x:f>
        <x:v>0.34915254237288135</x:v>
      </x:c>
      <x:c r="J7" s="14" t="n">
        <x:f>J25/$N25</x:f>
        <x:v>0.3536723163841808</x:v>
      </x:c>
      <x:c r="K7" s="14" t="n">
        <x:f>K25/$N25</x:f>
        <x:v>0.3954802259887006</x:v>
      </x:c>
      <x:c r="L7" s="14" t="n">
        <x:f>L25/$N25</x:f>
        <x:v>0.37401129943502825</x:v>
      </x:c>
      <x:c r="M7" s="14" t="n">
        <x:f>M25/$N25</x:f>
        <x:v>0.5028248587570622</x:v>
      </x:c>
      <x:c r="N7" s="1" t="n">
        <x:f>N25</x:f>
        <x:v>885</x:v>
      </x:c>
    </x:row>
    <x:row r="8" ht="23" customHeight="1">
      <x:c r="A8" s="1" t="str">
        <x:f>A26</x:f>
        <x:v>2011-01</x:v>
      </x:c>
      <x:c r="B8" s="14" t="n">
        <x:f>B26/$N26</x:f>
        <x:v>1</x:v>
      </x:c>
      <x:c r="C8" s="14" t="n">
        <x:f>C26/$N26</x:f>
        <x:v>0.22062350119904076</x:v>
      </x:c>
      <x:c r="D8" s="14" t="n">
        <x:f>D26/$N26</x:f>
        <x:v>0.26618705035971224</x:v>
      </x:c>
      <x:c r="E8" s="14" t="n">
        <x:f>E26/$N26</x:f>
        <x:v>0.2302158273381295</x:v>
      </x:c>
      <x:c r="F8" s="14" t="n">
        <x:f>F26/$N26</x:f>
        <x:v>0.3213429256594724</x:v>
      </x:c>
      <x:c r="G8" s="14" t="n">
        <x:f>G26/$N26</x:f>
        <x:v>0.28776978417266186</x:v>
      </x:c>
      <x:c r="H8" s="14" t="n">
        <x:f>H26/$N26</x:f>
        <x:v>0.24700239808153476</x:v>
      </x:c>
      <x:c r="I8" s="14" t="n">
        <x:f>I26/$N26</x:f>
        <x:v>0.2422062350119904</x:v>
      </x:c>
      <x:c r="J8" s="14" t="n">
        <x:f>J26/$N26</x:f>
        <x:v>0.2997601918465228</x:v>
      </x:c>
      <x:c r="K8" s="14" t="n">
        <x:f>K26/$N26</x:f>
        <x:v>0.3261390887290168</x:v>
      </x:c>
      <x:c r="L8" s="14" t="n">
        <x:f>L26/$N26</x:f>
        <x:v>0.3645083932853717</x:v>
      </x:c>
      <x:c r="M8" s="14"/>
      <x:c r="N8" s="1" t="n">
        <x:f>N26</x:f>
        <x:v>417</x:v>
      </x:c>
    </x:row>
    <x:row r="9" ht="23" customHeight="1">
      <x:c r="A9" s="1" t="str">
        <x:f>A27</x:f>
        <x:v>2011-02</x:v>
      </x:c>
      <x:c r="B9" s="14" t="n">
        <x:f>B27/$N27</x:f>
        <x:v>1</x:v>
      </x:c>
      <x:c r="C9" s="14" t="n">
        <x:f>C27/$N27</x:f>
        <x:v>0.1868421052631579</x:v>
      </x:c>
      <x:c r="D9" s="14" t="n">
        <x:f>D27/$N27</x:f>
        <x:v>0.1868421052631579</x:v>
      </x:c>
      <x:c r="E9" s="14" t="n">
        <x:f>E27/$N27</x:f>
        <x:v>0.28421052631578947</x:v>
      </x:c>
      <x:c r="F9" s="14" t="n">
        <x:f>F27/$N27</x:f>
        <x:v>0.2710526315789474</x:v>
      </x:c>
      <x:c r="G9" s="14" t="n">
        <x:f>G27/$N27</x:f>
        <x:v>0.24736842105263157</x:v>
      </x:c>
      <x:c r="H9" s="14" t="n">
        <x:f>H27/$N27</x:f>
        <x:v>0.25263157894736843</x:v>
      </x:c>
      <x:c r="I9" s="14" t="n">
        <x:f>I27/$N27</x:f>
        <x:v>0.2789473684210526</x:v>
      </x:c>
      <x:c r="J9" s="14" t="n">
        <x:f>J27/$N27</x:f>
        <x:v>0.24736842105263157</x:v>
      </x:c>
      <x:c r="K9" s="14" t="n">
        <x:f>K27/$N27</x:f>
        <x:v>0.30526315789473685</x:v>
      </x:c>
      <x:c r="L9" s="14"/>
      <x:c r="M9" s="14"/>
      <x:c r="N9" s="1" t="n">
        <x:f>N27</x:f>
        <x:v>380</x:v>
      </x:c>
    </x:row>
    <x:row r="10" ht="23" customHeight="1">
      <x:c r="A10" s="1" t="str">
        <x:f>A28</x:f>
        <x:v>2011-03</x:v>
      </x:c>
      <x:c r="B10" s="14" t="n">
        <x:f>B28/$N28</x:f>
        <x:v>1</x:v>
      </x:c>
      <x:c r="C10" s="14" t="n">
        <x:f>C28/$N28</x:f>
        <x:v>0.1504424778761062</x:v>
      </x:c>
      <x:c r="D10" s="14" t="n">
        <x:f>D28/$N28</x:f>
        <x:v>0.252212389380531</x:v>
      </x:c>
      <x:c r="E10" s="14" t="n">
        <x:f>E28/$N28</x:f>
        <x:v>0.19911504424778761</x:v>
      </x:c>
      <x:c r="F10" s="14" t="n">
        <x:f>F28/$N28</x:f>
        <x:v>0.2234513274336283</x:v>
      </x:c>
      <x:c r="G10" s="14" t="n">
        <x:f>G28/$N28</x:f>
        <x:v>0.168141592920354</x:v>
      </x:c>
      <x:c r="H10" s="14" t="n">
        <x:f>H28/$N28</x:f>
        <x:v>0.2676991150442478</x:v>
      </x:c>
      <x:c r="I10" s="14" t="n">
        <x:f>I28/$N28</x:f>
        <x:v>0.23008849557522124</x:v>
      </x:c>
      <x:c r="J10" s="14" t="n">
        <x:f>J28/$N28</x:f>
        <x:v>0.27876106194690264</x:v>
      </x:c>
      <x:c r="K10" s="14"/>
      <x:c r="L10" s="14"/>
      <x:c r="M10" s="14"/>
      <x:c r="N10" s="1" t="n">
        <x:f>N28</x:f>
        <x:v>452</x:v>
      </x:c>
    </x:row>
    <x:row r="11" ht="23" customHeight="1">
      <x:c r="A11" s="1" t="str">
        <x:f>A29</x:f>
        <x:v>2011-04</x:v>
      </x:c>
      <x:c r="B11" s="14" t="n">
        <x:f>B29/$N29</x:f>
        <x:v>1</x:v>
      </x:c>
      <x:c r="C11" s="14" t="n">
        <x:f>C29/$N29</x:f>
        <x:v>0.21333333333333335</x:v>
      </x:c>
      <x:c r="D11" s="14" t="n">
        <x:f>D29/$N29</x:f>
        <x:v>0.20333333333333334</x:v>
      </x:c>
      <x:c r="E11" s="14" t="n">
        <x:f>E29/$N29</x:f>
        <x:v>0.21</x:v>
      </x:c>
      <x:c r="F11" s="14" t="n">
        <x:f>F29/$N29</x:f>
        <x:v>0.19666666666666666</x:v>
      </x:c>
      <x:c r="G11" s="14" t="n">
        <x:f>G29/$N29</x:f>
        <x:v>0.22666666666666666</x:v>
      </x:c>
      <x:c r="H11" s="14" t="n">
        <x:f>H29/$N29</x:f>
        <x:v>0.21666666666666667</x:v>
      </x:c>
      <x:c r="I11" s="14" t="n">
        <x:f>I29/$N29</x:f>
        <x:v>0.26</x:v>
      </x:c>
      <x:c r="J11" s="14"/>
      <x:c r="K11" s="14"/>
      <x:c r="L11" s="14"/>
      <x:c r="M11" s="14"/>
      <x:c r="N11" s="1" t="n">
        <x:f>N29</x:f>
        <x:v>300</x:v>
      </x:c>
    </x:row>
    <x:row r="12" ht="23" customHeight="1">
      <x:c r="A12" s="1" t="str">
        <x:f>A30</x:f>
        <x:v>2011-05</x:v>
      </x:c>
      <x:c r="B12" s="14" t="n">
        <x:f>B30/$N30</x:f>
        <x:v>1</x:v>
      </x:c>
      <x:c r="C12" s="14" t="n">
        <x:f>C30/$N30</x:f>
        <x:v>0.19014084507042253</x:v>
      </x:c>
      <x:c r="D12" s="14" t="n">
        <x:f>D30/$N30</x:f>
        <x:v>0.17253521126760563</x:v>
      </x:c>
      <x:c r="E12" s="14" t="n">
        <x:f>E30/$N30</x:f>
        <x:v>0.17253521126760563</x:v>
      </x:c>
      <x:c r="F12" s="14" t="n">
        <x:f>F30/$N30</x:f>
        <x:v>0.20774647887323944</x:v>
      </x:c>
      <x:c r="G12" s="14" t="n">
        <x:f>G30/$N30</x:f>
        <x:v>0.2323943661971831</x:v>
      </x:c>
      <x:c r="H12" s="14" t="n">
        <x:f>H30/$N30</x:f>
        <x:v>0.2640845070422535</x:v>
      </x:c>
      <x:c r="I12" s="14"/>
      <x:c r="J12" s="14"/>
      <x:c r="K12" s="14"/>
      <x:c r="L12" s="14"/>
      <x:c r="M12" s="14"/>
      <x:c r="N12" s="1" t="n">
        <x:f>N30</x:f>
        <x:v>284</x:v>
      </x:c>
    </x:row>
    <x:row r="13" ht="23" customHeight="1">
      <x:c r="A13" s="1" t="str">
        <x:f>A31</x:f>
        <x:v>2011-06</x:v>
      </x:c>
      <x:c r="B13" s="14" t="n">
        <x:f>B31/$N31</x:f>
        <x:v>1</x:v>
      </x:c>
      <x:c r="C13" s="14" t="n">
        <x:f>C31/$N31</x:f>
        <x:v>0.17355371900826447</x:v>
      </x:c>
      <x:c r="D13" s="14" t="n">
        <x:f>D31/$N31</x:f>
        <x:v>0.15702479338842976</x:v>
      </x:c>
      <x:c r="E13" s="14" t="n">
        <x:f>E31/$N31</x:f>
        <x:v>0.2644628099173554</x:v>
      </x:c>
      <x:c r="F13" s="14" t="n">
        <x:f>F31/$N31</x:f>
        <x:v>0.23140495867768596</x:v>
      </x:c>
      <x:c r="G13" s="14" t="n">
        <x:f>G31/$N31</x:f>
        <x:v>0.3347107438016529</x:v>
      </x:c>
      <x:c r="H13" s="14"/>
      <x:c r="I13" s="14"/>
      <x:c r="J13" s="14"/>
      <x:c r="K13" s="14"/>
      <x:c r="L13" s="14"/>
      <x:c r="M13" s="14"/>
      <x:c r="N13" s="1" t="n">
        <x:f>N31</x:f>
        <x:v>242</x:v>
      </x:c>
    </x:row>
    <x:row r="14" ht="23" customHeight="1">
      <x:c r="A14" s="1" t="str">
        <x:f>A32</x:f>
        <x:v>2011-07</x:v>
      </x:c>
      <x:c r="B14" s="14" t="n">
        <x:f>B32/$N32</x:f>
        <x:v>1</x:v>
      </x:c>
      <x:c r="C14" s="14" t="n">
        <x:f>C32/$N32</x:f>
        <x:v>0.18085106382978725</x:v>
      </x:c>
      <x:c r="D14" s="14" t="n">
        <x:f>D32/$N32</x:f>
        <x:v>0.2074468085106383</x:v>
      </x:c>
      <x:c r="E14" s="14" t="n">
        <x:f>E32/$N32</x:f>
        <x:v>0.22340425531914893</x:v>
      </x:c>
      <x:c r="F14" s="14" t="n">
        <x:f>F32/$N32</x:f>
        <x:v>0.2712765957446808</x:v>
      </x:c>
      <x:c r="G14" s="14"/>
      <x:c r="H14" s="14"/>
      <x:c r="I14" s="14"/>
      <x:c r="J14" s="14"/>
      <x:c r="K14" s="14"/>
      <x:c r="L14" s="14"/>
      <x:c r="M14" s="14"/>
      <x:c r="N14" s="1" t="n">
        <x:f>N32</x:f>
        <x:v>188</x:v>
      </x:c>
    </x:row>
    <x:row r="15" ht="23" customHeight="1">
      <x:c r="A15" s="1" t="str">
        <x:f>A33</x:f>
        <x:v>2011-08</x:v>
      </x:c>
      <x:c r="B15" s="14" t="n">
        <x:f>B33/$N33</x:f>
        <x:v>1</x:v>
      </x:c>
      <x:c r="C15" s="14" t="n">
        <x:f>C33/$N33</x:f>
        <x:v>0.20710059171597633</x:v>
      </x:c>
      <x:c r="D15" s="14" t="n">
        <x:f>D33/$N33</x:f>
        <x:v>0.2485207100591716</x:v>
      </x:c>
      <x:c r="E15" s="14" t="n">
        <x:f>E33/$N33</x:f>
        <x:v>0.24260355029585798</x:v>
      </x:c>
      <x:c r="F15" s="14"/>
      <x:c r="G15" s="14"/>
      <x:c r="H15" s="14"/>
      <x:c r="I15" s="14"/>
      <x:c r="J15" s="14"/>
      <x:c r="K15" s="14"/>
      <x:c r="L15" s="14"/>
      <x:c r="M15" s="14"/>
      <x:c r="N15" s="1" t="n">
        <x:f>N33</x:f>
        <x:v>169</x:v>
      </x:c>
    </x:row>
    <x:row r="16" ht="23" customHeight="1">
      <x:c r="A16" s="1" t="str">
        <x:f>A34</x:f>
        <x:v>2011-09</x:v>
      </x:c>
      <x:c r="B16" s="14" t="n">
        <x:f>B34/$N34</x:f>
        <x:v>1</x:v>
      </x:c>
      <x:c r="C16" s="14" t="n">
        <x:f>C34/$N34</x:f>
        <x:v>0.23411371237458195</x:v>
      </x:c>
      <x:c r="D16" s="14" t="n">
        <x:f>D34/$N34</x:f>
        <x:v>0.3010033444816054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" t="n">
        <x:f>N34</x:f>
        <x:v>299</x:v>
      </x:c>
    </x:row>
    <x:row r="17" ht="23" customHeight="1">
      <x:c r="A17" s="1" t="str">
        <x:f>A35</x:f>
        <x:v>2011-10</x:v>
      </x:c>
      <x:c r="B17" s="14" t="n">
        <x:f>B35/$N35</x:f>
        <x:v>1</x:v>
      </x:c>
      <x:c r="C17" s="14" t="n">
        <x:f>C35/$N35</x:f>
        <x:v>0.24022346368715083</x:v>
      </x:c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" t="n">
        <x:f>N35</x:f>
        <x:v>358</x:v>
      </x:c>
    </x:row>
    <x:row r="18" ht="23" customHeight="1">
      <x:c r="A18" s="1" t="str">
        <x:f>A36</x:f>
        <x:v>2011-11</x:v>
      </x:c>
      <x:c r="B18" s="14" t="n">
        <x:f>B36/$N36</x:f>
        <x:v>1</x:v>
      </x:c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" t="n">
        <x:f>N36</x:f>
        <x:v>323</x:v>
      </x:c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32" customHeight="1">
      <x:c r="A24" s="5" t="str">
        <x:v>Source counts</x:v>
      </x:c>
      <x:c r="B24" s="5" t="str">
        <x:v>Month 0</x:v>
      </x:c>
      <x:c r="C24" s="5" t="str">
        <x:v>Month 1</x:v>
      </x:c>
      <x:c r="D24" s="5" t="str">
        <x:v>Month 2</x:v>
      </x:c>
      <x:c r="E24" s="5" t="str">
        <x:v>Month 3</x:v>
      </x:c>
      <x:c r="F24" s="5" t="str">
        <x:v>Month 4</x:v>
      </x:c>
      <x:c r="G24" s="5" t="str">
        <x:v>Month 5</x:v>
      </x:c>
      <x:c r="H24" s="5" t="str">
        <x:v>Month 6</x:v>
      </x:c>
      <x:c r="I24" s="5" t="str">
        <x:v>Month 7</x:v>
      </x:c>
      <x:c r="J24" s="5" t="str">
        <x:v>Month 8</x:v>
      </x:c>
      <x:c r="K24" s="5" t="str">
        <x:v>Month 9</x:v>
      </x:c>
      <x:c r="L24" s="5" t="str">
        <x:v>Month 10</x:v>
      </x:c>
      <x:c r="M24" s="5" t="str">
        <x:v>Month 11</x:v>
      </x:c>
      <x:c r="N24" s="5" t="str">
        <x:v>Cohort size</x:v>
      </x:c>
    </x:row>
    <x:row r="25">
      <x:c r="A25" s="1" t="str">
        <x:v>2010-12</x:v>
      </x:c>
      <x:c r="B25" s="1" t="n">
        <x:v>885</x:v>
      </x:c>
      <x:c r="C25" s="1" t="n">
        <x:v>324</x:v>
      </x:c>
      <x:c r="D25" s="1" t="n">
        <x:v>286</x:v>
      </x:c>
      <x:c r="E25" s="1" t="n">
        <x:v>340</x:v>
      </x:c>
      <x:c r="F25" s="1" t="n">
        <x:v>321</x:v>
      </x:c>
      <x:c r="G25" s="1" t="n">
        <x:v>352</x:v>
      </x:c>
      <x:c r="H25" s="1" t="n">
        <x:v>321</x:v>
      </x:c>
      <x:c r="I25" s="1" t="n">
        <x:v>309</x:v>
      </x:c>
      <x:c r="J25" s="1" t="n">
        <x:v>313</x:v>
      </x:c>
      <x:c r="K25" s="1" t="n">
        <x:v>350</x:v>
      </x:c>
      <x:c r="L25" s="1" t="n">
        <x:v>331</x:v>
      </x:c>
      <x:c r="M25" s="1" t="n">
        <x:v>445</x:v>
      </x:c>
      <x:c r="N25" s="1" t="n">
        <x:v>885</x:v>
      </x:c>
    </x:row>
    <x:row r="26">
      <x:c r="A26" s="1" t="str">
        <x:v>2011-01</x:v>
      </x:c>
      <x:c r="B26" s="1" t="n">
        <x:v>417</x:v>
      </x:c>
      <x:c r="C26" s="1" t="n">
        <x:v>92</x:v>
      </x:c>
      <x:c r="D26" s="1" t="n">
        <x:v>111</x:v>
      </x:c>
      <x:c r="E26" s="1" t="n">
        <x:v>96</x:v>
      </x:c>
      <x:c r="F26" s="1" t="n">
        <x:v>134</x:v>
      </x:c>
      <x:c r="G26" s="1" t="n">
        <x:v>120</x:v>
      </x:c>
      <x:c r="H26" s="1" t="n">
        <x:v>103</x:v>
      </x:c>
      <x:c r="I26" s="1" t="n">
        <x:v>101</x:v>
      </x:c>
      <x:c r="J26" s="1" t="n">
        <x:v>125</x:v>
      </x:c>
      <x:c r="K26" s="1" t="n">
        <x:v>136</x:v>
      </x:c>
      <x:c r="L26" s="1" t="n">
        <x:v>152</x:v>
      </x:c>
      <x:c r="M26" s="1"/>
      <x:c r="N26" s="1" t="n">
        <x:v>417</x:v>
      </x:c>
    </x:row>
    <x:row r="27">
      <x:c r="A27" s="1" t="str">
        <x:v>2011-02</x:v>
      </x:c>
      <x:c r="B27" s="1" t="n">
        <x:v>380</x:v>
      </x:c>
      <x:c r="C27" s="1" t="n">
        <x:v>71</x:v>
      </x:c>
      <x:c r="D27" s="1" t="n">
        <x:v>71</x:v>
      </x:c>
      <x:c r="E27" s="1" t="n">
        <x:v>108</x:v>
      </x:c>
      <x:c r="F27" s="1" t="n">
        <x:v>103</x:v>
      </x:c>
      <x:c r="G27" s="1" t="n">
        <x:v>94</x:v>
      </x:c>
      <x:c r="H27" s="1" t="n">
        <x:v>96</x:v>
      </x:c>
      <x:c r="I27" s="1" t="n">
        <x:v>106</x:v>
      </x:c>
      <x:c r="J27" s="1" t="n">
        <x:v>94</x:v>
      </x:c>
      <x:c r="K27" s="1" t="n">
        <x:v>116</x:v>
      </x:c>
      <x:c r="L27" s="1"/>
      <x:c r="M27" s="1"/>
      <x:c r="N27" s="1" t="n">
        <x:v>380</x:v>
      </x:c>
    </x:row>
    <x:row r="28">
      <x:c r="A28" s="1" t="str">
        <x:v>2011-03</x:v>
      </x:c>
      <x:c r="B28" s="1" t="n">
        <x:v>452</x:v>
      </x:c>
      <x:c r="C28" s="1" t="n">
        <x:v>68</x:v>
      </x:c>
      <x:c r="D28" s="1" t="n">
        <x:v>114</x:v>
      </x:c>
      <x:c r="E28" s="1" t="n">
        <x:v>90</x:v>
      </x:c>
      <x:c r="F28" s="1" t="n">
        <x:v>101</x:v>
      </x:c>
      <x:c r="G28" s="1" t="n">
        <x:v>76</x:v>
      </x:c>
      <x:c r="H28" s="1" t="n">
        <x:v>121</x:v>
      </x:c>
      <x:c r="I28" s="1" t="n">
        <x:v>104</x:v>
      </x:c>
      <x:c r="J28" s="1" t="n">
        <x:v>126</x:v>
      </x:c>
      <x:c r="K28" s="1"/>
      <x:c r="L28" s="1"/>
      <x:c r="M28" s="1"/>
      <x:c r="N28" s="1" t="n">
        <x:v>452</x:v>
      </x:c>
    </x:row>
    <x:row r="29">
      <x:c r="A29" s="1" t="str">
        <x:v>2011-04</x:v>
      </x:c>
      <x:c r="B29" s="1" t="n">
        <x:v>300</x:v>
      </x:c>
      <x:c r="C29" s="1" t="n">
        <x:v>64</x:v>
      </x:c>
      <x:c r="D29" s="1" t="n">
        <x:v>61</x:v>
      </x:c>
      <x:c r="E29" s="1" t="n">
        <x:v>63</x:v>
      </x:c>
      <x:c r="F29" s="1" t="n">
        <x:v>59</x:v>
      </x:c>
      <x:c r="G29" s="1" t="n">
        <x:v>68</x:v>
      </x:c>
      <x:c r="H29" s="1" t="n">
        <x:v>65</x:v>
      </x:c>
      <x:c r="I29" s="1" t="n">
        <x:v>78</x:v>
      </x:c>
      <x:c r="J29" s="1"/>
      <x:c r="K29" s="1"/>
      <x:c r="L29" s="1"/>
      <x:c r="M29" s="1"/>
      <x:c r="N29" s="1" t="n">
        <x:v>300</x:v>
      </x:c>
    </x:row>
    <x:row r="30">
      <x:c r="A30" s="1" t="str">
        <x:v>2011-05</x:v>
      </x:c>
      <x:c r="B30" s="1" t="n">
        <x:v>284</x:v>
      </x:c>
      <x:c r="C30" s="1" t="n">
        <x:v>54</x:v>
      </x:c>
      <x:c r="D30" s="1" t="n">
        <x:v>49</x:v>
      </x:c>
      <x:c r="E30" s="1" t="n">
        <x:v>49</x:v>
      </x:c>
      <x:c r="F30" s="1" t="n">
        <x:v>59</x:v>
      </x:c>
      <x:c r="G30" s="1" t="n">
        <x:v>66</x:v>
      </x:c>
      <x:c r="H30" s="1" t="n">
        <x:v>75</x:v>
      </x:c>
      <x:c r="I30" s="1"/>
      <x:c r="J30" s="1"/>
      <x:c r="K30" s="1"/>
      <x:c r="L30" s="1"/>
      <x:c r="M30" s="1"/>
      <x:c r="N30" s="1" t="n">
        <x:v>284</x:v>
      </x:c>
    </x:row>
    <x:row r="31">
      <x:c r="A31" s="1" t="str">
        <x:v>2011-06</x:v>
      </x:c>
      <x:c r="B31" s="1" t="n">
        <x:v>242</x:v>
      </x:c>
      <x:c r="C31" s="1" t="n">
        <x:v>42</x:v>
      </x:c>
      <x:c r="D31" s="1" t="n">
        <x:v>38</x:v>
      </x:c>
      <x:c r="E31" s="1" t="n">
        <x:v>64</x:v>
      </x:c>
      <x:c r="F31" s="1" t="n">
        <x:v>56</x:v>
      </x:c>
      <x:c r="G31" s="1" t="n">
        <x:v>81</x:v>
      </x:c>
      <x:c r="H31" s="1"/>
      <x:c r="I31" s="1"/>
      <x:c r="J31" s="1"/>
      <x:c r="K31" s="1"/>
      <x:c r="L31" s="1"/>
      <x:c r="M31" s="1"/>
      <x:c r="N31" s="1" t="n">
        <x:v>242</x:v>
      </x:c>
    </x:row>
    <x:row r="32">
      <x:c r="A32" s="1" t="str">
        <x:v>2011-07</x:v>
      </x:c>
      <x:c r="B32" s="1" t="n">
        <x:v>188</x:v>
      </x:c>
      <x:c r="C32" s="1" t="n">
        <x:v>34</x:v>
      </x:c>
      <x:c r="D32" s="1" t="n">
        <x:v>39</x:v>
      </x:c>
      <x:c r="E32" s="1" t="n">
        <x:v>42</x:v>
      </x:c>
      <x:c r="F32" s="1" t="n">
        <x:v>51</x:v>
      </x:c>
      <x:c r="G32" s="1"/>
      <x:c r="H32" s="1"/>
      <x:c r="I32" s="1"/>
      <x:c r="J32" s="1"/>
      <x:c r="K32" s="1"/>
      <x:c r="L32" s="1"/>
      <x:c r="M32" s="1"/>
      <x:c r="N32" s="1" t="n">
        <x:v>188</x:v>
      </x:c>
    </x:row>
    <x:row r="33">
      <x:c r="A33" s="1" t="str">
        <x:v>2011-08</x:v>
      </x:c>
      <x:c r="B33" s="1" t="n">
        <x:v>169</x:v>
      </x:c>
      <x:c r="C33" s="1" t="n">
        <x:v>35</x:v>
      </x:c>
      <x:c r="D33" s="1" t="n">
        <x:v>42</x:v>
      </x:c>
      <x:c r="E33" s="1" t="n">
        <x:v>41</x:v>
      </x:c>
      <x:c r="F33" s="1"/>
      <x:c r="G33" s="1"/>
      <x:c r="H33" s="1"/>
      <x:c r="I33" s="1"/>
      <x:c r="J33" s="1"/>
      <x:c r="K33" s="1"/>
      <x:c r="L33" s="1"/>
      <x:c r="M33" s="1"/>
      <x:c r="N33" s="1" t="n">
        <x:v>169</x:v>
      </x:c>
    </x:row>
    <x:row r="34">
      <x:c r="A34" s="1" t="str">
        <x:v>2011-09</x:v>
      </x:c>
      <x:c r="B34" s="1" t="n">
        <x:v>299</x:v>
      </x:c>
      <x:c r="C34" s="1" t="n">
        <x:v>70</x:v>
      </x:c>
      <x:c r="D34" s="1" t="n">
        <x:v>90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 t="n">
        <x:v>299</x:v>
      </x:c>
    </x:row>
    <x:row r="35">
      <x:c r="A35" s="1" t="str">
        <x:v>2011-10</x:v>
      </x:c>
      <x:c r="B35" s="1" t="n">
        <x:v>358</x:v>
      </x:c>
      <x:c r="C35" s="1" t="n">
        <x:v>86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 t="n">
        <x:v>358</x:v>
      </x:c>
    </x:row>
    <x:row r="36">
      <x:c r="A36" s="1" t="str">
        <x:v>2011-11</x:v>
      </x:c>
      <x:c r="B36" s="1" t="n">
        <x:v>323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 t="n">
        <x:v>323</x:v>
      </x:c>
    </x:row>
  </x:sheetData>
  <x:conditionalFormatting sqref="B7:M18">
    <x:cfRule type="colorScale" priority="1">
      <x:colorScale>
        <x:cfvo type="min"/>
        <x:cfvo type="percentile" val="50"/>
        <x:cfvo type="max"/>
        <x:color rgb="FFF2F6FA"/>
        <x:color rgb="FFA9CDD8"/>
        <x:color rgb="FF245D82"/>
      </x:colorScale>
    </x:cfRule>
    <x:cfRule type="cellIs" dxfId="0" priority="2" operator="greaterThan">
      <x:formula>0.55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Source reconciliation and data quality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 t="str">
        <x:v>Source: Chen (2015), UCI Online Retail, CC BY 4.0. https://doi.org/10.24432/C5BW33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5" t="str">
        <x:v>Classification</x:v>
      </x:c>
      <x:c r="B5" s="5" t="str">
        <x:v>Source rows</x:v>
      </x:c>
      <x:c r="C5" s="5" t="str">
        <x:v>Signed GBP</x:v>
      </x:c>
      <x:c r="D5" s="1"/>
      <x:c r="E5" s="1"/>
      <x:c r="F5" s="1"/>
      <x:c r="G5" s="1"/>
      <x:c r="H5" s="1"/>
    </x:row>
    <x:row r="6" ht="23" customHeight="1">
      <x:c r="A6" s="1" t="str">
        <x:v>cancellation</x:v>
      </x:c>
      <x:c r="B6" s="8" t="n">
        <x:v>9251</x:v>
      </x:c>
      <x:c r="C6" s="6" t="n">
        <x:v>-893979.73</x:v>
      </x:c>
      <x:c r="D6" s="1"/>
      <x:c r="E6" s="1"/>
      <x:c r="F6" s="1"/>
      <x:c r="G6" s="1"/>
      <x:c r="H6" s="1"/>
    </x:row>
    <x:row r="7" ht="23" customHeight="1">
      <x:c r="A7" s="1" t="str">
        <x:v>duplicate</x:v>
      </x:c>
      <x:c r="B7" s="8" t="n">
        <x:v>5268</x:v>
      </x:c>
      <x:c r="C7" s="6" t="n">
        <x:v>21740.98</x:v>
      </x:c>
      <x:c r="D7" s="1"/>
      <x:c r="E7" s="1"/>
      <x:c r="F7" s="1"/>
      <x:c r="G7" s="1"/>
      <x:c r="H7" s="1"/>
    </x:row>
    <x:row r="8" ht="23" customHeight="1">
      <x:c r="A8" s="1" t="str">
        <x:v>nonpositive_price</x:v>
      </x:c>
      <x:c r="B8" s="8" t="n">
        <x:v>2512</x:v>
      </x:c>
      <x:c r="C8" s="6" t="n">
        <x:v>-22124.12</x:v>
      </x:c>
      <x:c r="D8" s="1"/>
      <x:c r="E8" s="1"/>
      <x:c r="F8" s="1"/>
      <x:c r="G8" s="1"/>
      <x:c r="H8" s="1"/>
    </x:row>
    <x:row r="9" ht="23" customHeight="1">
      <x:c r="A9" s="1" t="str">
        <x:v>sale</x:v>
      </x:c>
      <x:c r="B9" s="8" t="n">
        <x:v>524878</x:v>
      </x:c>
      <x:c r="C9" s="6" t="n">
        <x:v>10642110.804</x:v>
      </x:c>
      <x:c r="D9" s="1"/>
      <x:c r="E9" s="1"/>
      <x:c r="F9" s="1"/>
      <x:c r="G9" s="1"/>
      <x:c r="H9" s="1"/>
    </x:row>
    <x:row r="10" ht="23" customHeight="1">
      <x:c r="A10" s="1"/>
      <x:c r="B10" s="8"/>
      <x:c r="C10" s="6"/>
      <x:c r="D10" s="1"/>
      <x:c r="E10" s="1"/>
      <x:c r="F10" s="1"/>
      <x:c r="G10" s="1"/>
      <x:c r="H10" s="1"/>
    </x:row>
    <x:row r="11" ht="23" customHeight="1">
      <x:c r="A11" s="1"/>
      <x:c r="B11" s="8"/>
      <x:c r="C11" s="6"/>
      <x:c r="D11" s="1"/>
      <x:c r="E11" s="1"/>
      <x:c r="F11" s="1"/>
      <x:c r="G11" s="1"/>
      <x:c r="H11" s="1"/>
    </x:row>
    <x:row r="12" ht="23" customHeight="1">
      <x:c r="A12" s="1" t="str">
        <x:v>Classified total</x:v>
      </x:c>
      <x:c r="B12" s="8" t="n">
        <x:f>SUM(B6:B10)</x:f>
        <x:v>541909</x:v>
      </x:c>
      <x:c r="C12" s="6" t="n">
        <x:f>SUM(C6:C10)</x:f>
        <x:v>9747747.934</x:v>
      </x:c>
      <x:c r="D12" s="1"/>
      <x:c r="E12" s="1"/>
      <x:c r="F12" s="1"/>
      <x:c r="G12" s="1"/>
      <x:c r="H12" s="1"/>
    </x:row>
    <x:row r="13" ht="23" customHeight="1">
      <x:c r="A13" s="1" t="str">
        <x:v>Raw source total</x:v>
      </x:c>
      <x:c r="B13" s="8" t="n">
        <x:v>541909</x:v>
      </x:c>
      <x:c r="C13" s="6" t="n">
        <x:v>9747747.934</x:v>
      </x:c>
      <x:c r="D13" s="1"/>
      <x:c r="E13" s="1"/>
      <x:c r="F13" s="1"/>
      <x:c r="G13" s="1"/>
      <x:c r="H13" s="1"/>
    </x:row>
    <x:row r="14" ht="23" customHeight="1">
      <x:c r="A14" s="1" t="str">
        <x:v>Reconciliation difference</x:v>
      </x:c>
      <x:c r="B14" s="8" t="n">
        <x:f>B12-B13</x:f>
        <x:v>0</x:v>
      </x:c>
      <x:c r="C14" s="6" t="n">
        <x:f>C12-C13</x:f>
        <x:v>0</x:v>
      </x:c>
      <x:c r="D14" s="1"/>
      <x:c r="E14" s="1"/>
      <x:c r="F14" s="1"/>
      <x:c r="G14" s="1"/>
      <x:c r="H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3" customHeight="1">
      <x:c r="A17" s="1" t="str">
        <x:v>Missing customer ID rows</x:v>
      </x:c>
      <x:c r="B17" s="8" t="n">
        <x:v>135080</x:v>
      </x:c>
      <x:c r="C17" s="1"/>
      <x:c r="D17" s="1"/>
      <x:c r="E17" s="1"/>
      <x:c r="F17" s="1"/>
      <x:c r="G17" s="1"/>
      <x:c r="H17" s="1"/>
    </x:row>
    <x:row r="18" ht="23" customHeight="1">
      <x:c r="A18" s="1" t="str">
        <x:v>Missing description rows</x:v>
      </x:c>
      <x:c r="B18" s="8" t="n">
        <x:v>1454</x:v>
      </x:c>
      <x:c r="C18" s="1"/>
      <x:c r="D18" s="1"/>
      <x:c r="E18" s="1"/>
      <x:c r="F18" s="1"/>
      <x:c r="G18" s="1"/>
      <x:c r="H18" s="1"/>
    </x:row>
    <x:row r="19" ht="23" customHeight="1">
      <x:c r="A19" s="1" t="str">
        <x:v>Exact duplicate rows</x:v>
      </x:c>
      <x:c r="B19" s="8" t="n">
        <x:v>5268</x:v>
      </x:c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 t="str">
        <x:v>Exact duplicate removal is an assumption, not proof of erroneous transactions. Raw records are retained.</x:v>
      </x:c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 t="str">
        <x:v>Nonpositive prices and other adjustments remain in this audit but are excluded from sales measures.</x:v>
      </x:c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7" hidden="0" customWidth="1"/>
    <x:col min="11" max="11" width="16" hidden="0" customWidth="1"/>
    <x:col min="12" max="12" width="16" hidden="0" customWidth="1"/>
  </x:cols>
  <x:sheetData>
    <x:row r="1" ht="24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4" customHeight="1">
      <x:c r="A2" s="21" t="str">
        <x:v>Country and period analysis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4" customHeight="1">
      <x:c r="A3" s="15" t="str">
        <x:v>Change the amber cells. Month keys use YYYYMM. December 2011 is partial.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4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 ht="24" customHeight="1">
      <x:c r="A5" s="15" t="str">
        <x:v>Country</x:v>
      </x:c>
      <x:c r="B5" s="22" t="str">
        <x:v>Germany</x:v>
      </x:c>
      <x:c r="C5" s="15"/>
      <x:c r="D5" s="15"/>
      <x:c r="E5" s="15"/>
      <x:c r="F5" s="15"/>
      <x:c r="G5" s="15"/>
      <x:c r="H5" s="15"/>
      <x:c r="I5" s="15"/>
      <x:c r="J5" s="15" t="str">
        <x:v>Countries</x:v>
      </x:c>
      <x:c r="K5" s="15" t="str">
        <x:v>Month keys</x:v>
      </x:c>
      <x:c r="L5" s="15"/>
    </x:row>
    <x:row r="6" ht="24" customHeight="1">
      <x:c r="A6" s="15" t="str">
        <x:v>Start month</x:v>
      </x:c>
      <x:c r="B6" s="22" t="n">
        <x:v>201101</x:v>
      </x:c>
      <x:c r="C6" s="15"/>
      <x:c r="D6" s="15"/>
      <x:c r="E6" s="15"/>
      <x:c r="F6" s="15"/>
      <x:c r="G6" s="15"/>
      <x:c r="H6" s="15"/>
      <x:c r="I6" s="15"/>
      <x:c r="J6" s="15" t="str">
        <x:v>United Kingdom</x:v>
      </x:c>
      <x:c r="K6" s="15" t="n">
        <x:v>201012</x:v>
      </x:c>
      <x:c r="L6" s="15"/>
    </x:row>
    <x:row r="7" ht="24" customHeight="1">
      <x:c r="A7" s="15" t="str">
        <x:v>End month</x:v>
      </x:c>
      <x:c r="B7" s="22" t="n">
        <x:v>201106</x:v>
      </x:c>
      <x:c r="C7" s="15"/>
      <x:c r="D7" s="15"/>
      <x:c r="E7" s="15"/>
      <x:c r="F7" s="15"/>
      <x:c r="G7" s="15"/>
      <x:c r="H7" s="15"/>
      <x:c r="I7" s="15"/>
      <x:c r="J7" s="15" t="str">
        <x:v>Netherlands</x:v>
      </x:c>
      <x:c r="K7" s="15" t="n">
        <x:v>201101</x:v>
      </x:c>
      <x:c r="L7" s="15"/>
    </x:row>
    <x:row r="8" ht="24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 t="str">
        <x:v>EIRE</x:v>
      </x:c>
      <x:c r="K8" s="15" t="n">
        <x:v>201102</x:v>
      </x:c>
      <x:c r="L8" s="15"/>
    </x:row>
    <x:row r="9" ht="24" customHeight="1">
      <x:c r="A9" s="15" t="str">
        <x:v>Selection check</x:v>
      </x:c>
      <x:c r="B9" s="15" t="str">
        <x:f>IF(AND(COUNTIF(J6:J43,B5)=1,COUNTIF(K6:K18,B6)=1,COUNTIF(K6:K18,B7)=1,B6&lt;=B7),"Valid","Check selection")</x:f>
        <x:v>Valid</x:v>
      </x:c>
      <x:c r="C9" s="15"/>
      <x:c r="D9" s="15"/>
      <x:c r="E9" s="15"/>
      <x:c r="F9" s="15"/>
      <x:c r="G9" s="15"/>
      <x:c r="H9" s="15"/>
      <x:c r="I9" s="15"/>
      <x:c r="J9" s="15" t="str">
        <x:v>Germany</x:v>
      </x:c>
      <x:c r="K9" s="15" t="n">
        <x:v>201103</x:v>
      </x:c>
      <x:c r="L9" s="15"/>
    </x:row>
    <x:row r="10" ht="24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 t="str">
        <x:v>France</x:v>
      </x:c>
      <x:c r="K10" s="15" t="n">
        <x:v>201104</x:v>
      </x:c>
      <x:c r="L10" s="15"/>
    </x:row>
    <x:row r="11" ht="32" customHeight="1">
      <x:c r="A11" s="18" t="str">
        <x:v>Selected-period metric</x:v>
      </x:c>
      <x:c r="B11" s="18" t="str">
        <x:v>Result</x:v>
      </x:c>
      <x:c r="C11" s="15"/>
      <x:c r="D11" s="15"/>
      <x:c r="E11" s="15"/>
      <x:c r="F11" s="15"/>
      <x:c r="G11" s="15"/>
      <x:c r="H11" s="15"/>
      <x:c r="I11" s="15"/>
      <x:c r="J11" s="15" t="str">
        <x:v>Australia</x:v>
      </x:c>
      <x:c r="K11" s="15" t="n">
        <x:v>201105</x:v>
      </x:c>
      <x:c r="L11" s="15"/>
    </x:row>
    <x:row r="12" ht="24" customHeight="1">
      <x:c r="A12" s="15" t="str">
        <x:v>Gross sales</x:v>
      </x:c>
      <x:c r="B12" s="19" t="n">
        <x:f>IF(B9&lt;&gt;"Valid","Check selection",SUMIFS(CountryMonth!$D$6:$D$319,CountryMonth!$C$6:$C$319,$B$5,CountryMonth!$B$6:$B$319,"&gt;="&amp;$B$6,CountryMonth!$B$6:$B$319,"&lt;="&amp;$B$7))</x:f>
        <x:v>92151.17000000001</x:v>
      </x:c>
      <x:c r="C12" s="15"/>
      <x:c r="D12" s="15"/>
      <x:c r="E12" s="15"/>
      <x:c r="F12" s="15"/>
      <x:c r="G12" s="15"/>
      <x:c r="H12" s="15"/>
      <x:c r="I12" s="15"/>
      <x:c r="J12" s="15" t="str">
        <x:v>Switzerland</x:v>
      </x:c>
      <x:c r="K12" s="15" t="n">
        <x:v>201106</x:v>
      </x:c>
      <x:c r="L12" s="15"/>
    </x:row>
    <x:row r="13" ht="24" customHeight="1">
      <x:c r="A13" s="15" t="str">
        <x:v>Cancellation value</x:v>
      </x:c>
      <x:c r="B13" s="19" t="n">
        <x:f>IF(B9&lt;&gt;"Valid","Check selection",SUMIFS(CountryMonth!$E$6:$E$319,CountryMonth!$C$6:$C$319,$B$5,CountryMonth!$B$6:$B$319,"&gt;="&amp;$B$6,CountryMonth!$B$6:$B$319,"&lt;="&amp;$B$7))</x:f>
        <x:v>2018.99</x:v>
      </x:c>
      <x:c r="C13" s="15"/>
      <x:c r="D13" s="15"/>
      <x:c r="E13" s="15"/>
      <x:c r="F13" s="15"/>
      <x:c r="G13" s="15"/>
      <x:c r="H13" s="15"/>
      <x:c r="I13" s="15"/>
      <x:c r="J13" s="15" t="str">
        <x:v>Spain</x:v>
      </x:c>
      <x:c r="K13" s="15" t="n">
        <x:v>201107</x:v>
      </x:c>
      <x:c r="L13" s="15"/>
    </x:row>
    <x:row r="14" ht="24" customHeight="1">
      <x:c r="A14" s="15" t="str">
        <x:v>Net transaction value</x:v>
      </x:c>
      <x:c r="B14" s="19" t="n">
        <x:f>IF(B9&lt;&gt;"Valid","Check selection",B12-B13)</x:f>
        <x:v>90132.18000000001</x:v>
      </x:c>
      <x:c r="C14" s="15"/>
      <x:c r="D14" s="15"/>
      <x:c r="E14" s="15"/>
      <x:c r="F14" s="15"/>
      <x:c r="G14" s="15"/>
      <x:c r="H14" s="15"/>
      <x:c r="I14" s="15"/>
      <x:c r="J14" s="15" t="str">
        <x:v>Belgium</x:v>
      </x:c>
      <x:c r="K14" s="15" t="n">
        <x:v>201108</x:v>
      </x:c>
      <x:c r="L14" s="15"/>
    </x:row>
    <x:row r="15" ht="24" customHeight="1">
      <x:c r="A15" s="15" t="str">
        <x:v>Cancellation / gross</x:v>
      </x:c>
      <x:c r="B15" s="23" t="n">
        <x:f>IF(B9&lt;&gt;"Valid","Check selection",IF(B12=0,"n.a.",B13/B12))</x:f>
        <x:v>0.0219095427654364</x:v>
      </x:c>
      <x:c r="C15" s="15"/>
      <x:c r="D15" s="15"/>
      <x:c r="E15" s="15"/>
      <x:c r="F15" s="15"/>
      <x:c r="G15" s="15"/>
      <x:c r="H15" s="15"/>
      <x:c r="I15" s="15"/>
      <x:c r="J15" s="15" t="str">
        <x:v>Sweden</x:v>
      </x:c>
      <x:c r="K15" s="15" t="n">
        <x:v>201109</x:v>
      </x:c>
      <x:c r="L15" s="15"/>
    </x:row>
    <x:row r="16" ht="24" customHeight="1">
      <x:c r="A16" s="15" t="str">
        <x:v>Sales invoices</x:v>
      </x:c>
      <x:c r="B16" s="24" t="n">
        <x:f>IF(B9&lt;&gt;"Valid","Check selection",SUMIFS(CountryMonth!$G$6:$G$319,CountryMonth!$C$6:$C$319,$B$5,CountryMonth!$B$6:$B$319,"&gt;="&amp;$B$6,CountryMonth!$B$6:$B$319,"&lt;="&amp;$B$7))</x:f>
        <x:v>171</x:v>
      </x:c>
      <x:c r="C16" s="15"/>
      <x:c r="D16" s="15"/>
      <x:c r="E16" s="15"/>
      <x:c r="F16" s="15"/>
      <x:c r="G16" s="15"/>
      <x:c r="H16" s="15"/>
      <x:c r="I16" s="15"/>
      <x:c r="J16" s="15" t="str">
        <x:v>Japan</x:v>
      </x:c>
      <x:c r="K16" s="15" t="n">
        <x:v>201110</x:v>
      </x:c>
      <x:c r="L16" s="15"/>
    </x:row>
    <x:row r="17" ht="24" customHeight="1">
      <x:c r="A17" s="15" t="str">
        <x:v>Observed country-months</x:v>
      </x:c>
      <x:c r="B17" s="24" t="n">
        <x:f>IF(B9&lt;&gt;"Valid","Check selection",COUNTIFS(CountryMonth!$C$6:$C$319,$B$5,CountryMonth!$B$6:$B$319,"&gt;="&amp;$B$6,CountryMonth!$B$6:$B$319,"&lt;="&amp;$B$7))</x:f>
        <x:v>6</x:v>
      </x:c>
      <x:c r="C17" s="15"/>
      <x:c r="D17" s="15"/>
      <x:c r="E17" s="15"/>
      <x:c r="F17" s="15"/>
      <x:c r="G17" s="15"/>
      <x:c r="H17" s="15"/>
      <x:c r="I17" s="15"/>
      <x:c r="J17" s="15" t="str">
        <x:v>Norway</x:v>
      </x:c>
      <x:c r="K17" s="15" t="n">
        <x:v>201111</x:v>
      </x:c>
      <x:c r="L17" s="15"/>
    </x:row>
    <x:row r="18" ht="24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 t="str">
        <x:v>Portugal</x:v>
      </x:c>
      <x:c r="K18" s="15" t="n">
        <x:v>201112</x:v>
      </x:c>
      <x:c r="L18" s="15"/>
    </x:row>
    <x:row r="19" ht="24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 t="str">
        <x:v>Finland</x:v>
      </x:c>
      <x:c r="K19" s="15"/>
      <x:c r="L19" s="15"/>
    </x:row>
    <x:row r="20" ht="32" customHeight="1">
      <x:c r="A20" s="18" t="str">
        <x:v>Full-source-period comparison</x:v>
      </x:c>
      <x:c r="B20" s="18" t="str">
        <x:v>Result</x:v>
      </x:c>
      <x:c r="C20" s="15"/>
      <x:c r="D20" s="15"/>
      <x:c r="E20" s="15"/>
      <x:c r="F20" s="15"/>
      <x:c r="G20" s="15"/>
      <x:c r="H20" s="15"/>
      <x:c r="I20" s="15"/>
      <x:c r="J20" s="15" t="str">
        <x:v>Channel Islands</x:v>
      </x:c>
      <x:c r="K20" s="15"/>
      <x:c r="L20" s="15"/>
    </x:row>
    <x:row r="21" ht="24" customHeight="1">
      <x:c r="A21" s="15" t="str">
        <x:v>Country net value</x:v>
      </x:c>
      <x:c r="B21" s="19" t="n">
        <x:f>XLOOKUP(B5,Markets!A7:A44,Markets!D7:D44,"Country not found",0)</x:f>
        <x:v>221509.47</x:v>
      </x:c>
      <x:c r="C21" s="15"/>
      <x:c r="D21" s="15"/>
      <x:c r="E21" s="15"/>
      <x:c r="F21" s="15"/>
      <x:c r="G21" s="15"/>
      <x:c r="H21" s="15"/>
      <x:c r="I21" s="15"/>
      <x:c r="J21" s="15" t="str">
        <x:v>Denmark</x:v>
      </x:c>
      <x:c r="K21" s="15"/>
      <x:c r="L21" s="15"/>
    </x:row>
    <x:row r="22" ht="24" customHeight="1">
      <x:c r="A22" s="15" t="str">
        <x:v>Selected / full-period net</x:v>
      </x:c>
      <x:c r="B22" s="23" t="n">
        <x:f>IF(B9&lt;&gt;"Valid","Check selection",IF(B21=0,"n.a.",B14/B21))</x:f>
        <x:v>0.406899894618501</x:v>
      </x:c>
      <x:c r="C22" s="15"/>
      <x:c r="D22" s="15"/>
      <x:c r="E22" s="15"/>
      <x:c r="F22" s="15"/>
      <x:c r="G22" s="15"/>
      <x:c r="H22" s="15"/>
      <x:c r="I22" s="15"/>
      <x:c r="J22" s="15" t="str">
        <x:v>Italy</x:v>
      </x:c>
      <x:c r="K22" s="15"/>
      <x:c r="L22" s="15"/>
    </x:row>
    <x:row r="23" ht="24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 t="str">
        <x:v>Cyprus</x:v>
      </x:c>
      <x:c r="K23" s="15"/>
      <x:c r="L23" s="15"/>
    </x:row>
    <x:row r="24" ht="24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 t="str">
        <x:v>Austria</x:v>
      </x:c>
      <x:c r="K24" s="15"/>
      <x:c r="L24" s="15"/>
    </x:row>
    <x:row r="25" ht="24" customHeight="1">
      <x:c r="A25" s="15" t="str">
        <x:v>SUMIFS totals the selected country and months; COUNTIFS counts observed month rows, not customers.</x:v>
      </x:c>
      <x:c r="B25" s="15"/>
      <x:c r="C25" s="15"/>
      <x:c r="D25" s="15"/>
      <x:c r="E25" s="15"/>
      <x:c r="F25" s="15"/>
      <x:c r="G25" s="15"/>
      <x:c r="H25" s="15"/>
      <x:c r="I25" s="15"/>
      <x:c r="J25" s="15" t="str">
        <x:v>Hong Kong</x:v>
      </x:c>
      <x:c r="K25" s="15"/>
      <x:c r="L25" s="15"/>
    </x:row>
    <x:row r="26" ht="24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 t="str">
        <x:v>Singapore</x:v>
      </x:c>
      <x:c r="K26" s="15"/>
      <x:c r="L26" s="15"/>
    </x:row>
    <x:row r="27" ht="24" customHeight="1">
      <x:c r="A27" s="15" t="str">
        <x:v>XLOOKUP retrieves the selected country’s full-period net value from Markets.</x:v>
      </x:c>
      <x:c r="B27" s="15"/>
      <x:c r="C27" s="15"/>
      <x:c r="D27" s="15"/>
      <x:c r="E27" s="15"/>
      <x:c r="F27" s="15"/>
      <x:c r="G27" s="15"/>
      <x:c r="H27" s="15"/>
      <x:c r="I27" s="15"/>
      <x:c r="J27" s="15" t="str">
        <x:v>Israel</x:v>
      </x:c>
      <x:c r="K27" s="15"/>
      <x:c r="L27" s="15"/>
    </x:row>
    <x:row r="28" ht="24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 t="str">
        <x:v>Poland</x:v>
      </x:c>
      <x:c r="K28" s="15"/>
      <x:c r="L28" s="15"/>
    </x:row>
    <x:row r="29" ht="24" customHeight="1">
      <x:c r="A29" s="15" t="str">
        <x:v>No matching source rows gives zero value and zero observed months. Invalid selections are flagged.</x:v>
      </x:c>
      <x:c r="B29" s="15"/>
      <x:c r="C29" s="15"/>
      <x:c r="D29" s="15"/>
      <x:c r="E29" s="15"/>
      <x:c r="F29" s="15"/>
      <x:c r="G29" s="15"/>
      <x:c r="H29" s="15"/>
      <x:c r="I29" s="15"/>
      <x:c r="J29" s="15" t="str">
        <x:v>Unspecified</x:v>
      </x:c>
      <x:c r="K29" s="15"/>
      <x:c r="L29" s="15"/>
    </x:row>
    <x:row r="30" ht="24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 t="str">
        <x:v>Greece</x:v>
      </x:c>
      <x:c r="K30" s="15"/>
      <x:c r="L30" s="15"/>
    </x:row>
    <x:row r="31" ht="24" customHeight="1">
      <x:c r="A31" s="15" t="str">
        <x:v>Country Pivot contains a native Excel PivotTable with cached totals. Refresh after source changes.</x:v>
      </x:c>
      <x:c r="B31" s="15"/>
      <x:c r="C31" s="15"/>
      <x:c r="D31" s="15"/>
      <x:c r="E31" s="15"/>
      <x:c r="F31" s="15"/>
      <x:c r="G31" s="15"/>
      <x:c r="H31" s="15"/>
      <x:c r="I31" s="15"/>
      <x:c r="J31" s="15" t="str">
        <x:v>Iceland</x:v>
      </x:c>
      <x:c r="K31" s="15"/>
      <x:c r="L31" s="15"/>
    </x:row>
    <x:row r="32" ht="24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 t="str">
        <x:v>Canada</x:v>
      </x:c>
      <x:c r="K32" s="15"/>
      <x:c r="L32" s="15"/>
    </x:row>
    <x:row r="33" ht="24" customHeight="1">
      <x:c r="A33" s="15" t="str">
        <x:v>Power Query setup is provided separately; this workbook does not yet have an active query connection.</x:v>
      </x:c>
      <x:c r="B33" s="15"/>
      <x:c r="C33" s="15"/>
      <x:c r="D33" s="15"/>
      <x:c r="E33" s="15"/>
      <x:c r="F33" s="15"/>
      <x:c r="G33" s="15"/>
      <x:c r="H33" s="15"/>
      <x:c r="I33" s="15"/>
      <x:c r="J33" s="15" t="str">
        <x:v>Malta</x:v>
      </x:c>
      <x:c r="K33" s="15"/>
      <x:c r="L33" s="15"/>
    </x:row>
    <x:row r="34" ht="24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 t="str">
        <x:v>United Arab Emirates</x:v>
      </x:c>
      <x:c r="K34" s="15"/>
      <x:c r="L34" s="15"/>
    </x:row>
    <x:row r="35" ht="24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 t="str">
        <x:v>USA</x:v>
      </x:c>
      <x:c r="K35" s="15"/>
      <x:c r="L35" s="15"/>
    </x:row>
    <x:row r="36" ht="24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 t="str">
        <x:v>Lebanon</x:v>
      </x:c>
      <x:c r="K36" s="15"/>
      <x:c r="L36" s="15"/>
    </x:row>
    <x:row r="37" ht="24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 t="str">
        <x:v>Lithuania</x:v>
      </x:c>
      <x:c r="K37" s="15"/>
      <x:c r="L37" s="15"/>
    </x:row>
    <x:row r="38" ht="24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 t="str">
        <x:v>European Community</x:v>
      </x:c>
      <x:c r="K38" s="15"/>
      <x:c r="L38" s="15"/>
    </x:row>
    <x:row r="39" ht="24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 t="str">
        <x:v>Brazil</x:v>
      </x:c>
      <x:c r="K39" s="15"/>
      <x:c r="L39" s="15"/>
    </x:row>
    <x:row r="40" ht="24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 t="str">
        <x:v>RSA</x:v>
      </x:c>
      <x:c r="K40" s="15"/>
      <x:c r="L40" s="15"/>
    </x:row>
    <x:row r="41" ht="24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 t="str">
        <x:v>Czech Republic</x:v>
      </x:c>
      <x:c r="K41" s="15"/>
      <x:c r="L41" s="15"/>
    </x:row>
    <x:row r="42" ht="24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 t="str">
        <x:v>Bahrain</x:v>
      </x:c>
      <x:c r="K42" s="15"/>
      <x:c r="L42" s="15"/>
    </x:row>
    <x:row r="43" ht="24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 t="str">
        <x:v>Saudi Arabia</x:v>
      </x:c>
      <x:c r="K43" s="15"/>
      <x:c r="L43" s="15"/>
    </x:row>
    <x:row r="44" ht="24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</x:row>
    <x:row r="45" ht="24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</x:row>
  </x:sheetData>
  <x:dataValidations count="3">
    <x:dataValidation type="list" sqref="B5">
      <x:formula1>$J$6:$J$43</x:formula1>
    </x:dataValidation>
    <x:dataValidation type="list" sqref="B6">
      <x:formula1>$K$6:$K$18</x:formula1>
    </x:dataValidation>
    <x:dataValidation type="list" sqref="B7">
      <x:formula1>$K$6:$K$18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4" customHeight="1">
      <x:c r="A2" s="15" t="str">
        <x:v>Country-month source aggregates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4" customHeight="1">
      <x:c r="A3" s="15" t="str">
        <x:v>UCI Online Retail, Chen (2015), CC BY 4.0; SQL export: exports/country_month.csv.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4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 ht="32" customHeight="1">
      <x:c r="A5" s="18" t="str">
        <x:v>Month</x:v>
      </x:c>
      <x:c r="B5" s="18" t="str">
        <x:v>MonthKey</x:v>
      </x:c>
      <x:c r="C5" s="18" t="str">
        <x:v>Country</x:v>
      </x:c>
      <x:c r="D5" s="18" t="str">
        <x:v>GrossGBP</x:v>
      </x:c>
      <x:c r="E5" s="18" t="str">
        <x:v>CancelledGBP</x:v>
      </x:c>
      <x:c r="F5" s="18" t="str">
        <x:v>NetGBP</x:v>
      </x:c>
      <x:c r="G5" s="18" t="str">
        <x:v>SalesInvoices</x:v>
      </x:c>
      <x:c r="H5" s="15"/>
      <x:c r="I5" s="15"/>
      <x:c r="J5" s="15"/>
      <x:c r="K5" s="15"/>
      <x:c r="L5" s="15"/>
    </x:row>
    <x:row r="6" ht="23" customHeight="1">
      <x:c r="A6" s="15" t="str">
        <x:v>2010-12</x:v>
      </x:c>
      <x:c r="B6" s="15" t="n">
        <x:v>201012</x:v>
      </x:c>
      <x:c r="C6" s="15" t="str">
        <x:v>Australia</x:v>
      </x:c>
      <x:c r="D6" s="19" t="n">
        <x:v>965.35</x:v>
      </x:c>
      <x:c r="E6" s="19" t="n">
        <x:v>27.75</x:v>
      </x:c>
      <x:c r="F6" s="19" t="n">
        <x:v>937.6</x:v>
      </x:c>
      <x:c r="G6" s="15" t="n">
        <x:v>3</x:v>
      </x:c>
      <x:c r="H6" s="15"/>
      <x:c r="I6" s="15"/>
      <x:c r="J6" s="15"/>
      <x:c r="K6" s="15"/>
      <x:c r="L6" s="15"/>
    </x:row>
    <x:row r="7" ht="23" customHeight="1">
      <x:c r="A7" s="15" t="str">
        <x:v>2010-12</x:v>
      </x:c>
      <x:c r="B7" s="15" t="n">
        <x:v>201012</x:v>
      </x:c>
      <x:c r="C7" s="15" t="str">
        <x:v>Austria</x:v>
      </x:c>
      <x:c r="D7" s="19" t="n">
        <x:v>277.2</x:v>
      </x:c>
      <x:c r="E7" s="19" t="n">
        <x:v>20.16</x:v>
      </x:c>
      <x:c r="F7" s="19" t="n">
        <x:v>257.04</x:v>
      </x:c>
      <x:c r="G7" s="15" t="n">
        <x:v>1</x:v>
      </x:c>
      <x:c r="H7" s="15"/>
      <x:c r="I7" s="15"/>
      <x:c r="J7" s="15"/>
      <x:c r="K7" s="15"/>
      <x:c r="L7" s="15"/>
    </x:row>
    <x:row r="8" ht="23" customHeight="1">
      <x:c r="A8" s="15" t="str">
        <x:v>2010-12</x:v>
      </x:c>
      <x:c r="B8" s="15" t="n">
        <x:v>201012</x:v>
      </x:c>
      <x:c r="C8" s="15" t="str">
        <x:v>Bahrain</x:v>
      </x:c>
      <x:c r="D8" s="19" t="n">
        <x:v>205.74</x:v>
      </x:c>
      <x:c r="E8" s="19" t="n">
        <x:v>0</x:v>
      </x:c>
      <x:c r="F8" s="19" t="n">
        <x:v>205.74</x:v>
      </x:c>
      <x:c r="G8" s="15" t="n">
        <x:v>1</x:v>
      </x:c>
      <x:c r="H8" s="15"/>
      <x:c r="I8" s="15"/>
      <x:c r="J8" s="15"/>
      <x:c r="K8" s="15"/>
      <x:c r="L8" s="15"/>
    </x:row>
    <x:row r="9" ht="23" customHeight="1">
      <x:c r="A9" s="15" t="str">
        <x:v>2010-12</x:v>
      </x:c>
      <x:c r="B9" s="15" t="n">
        <x:v>201012</x:v>
      </x:c>
      <x:c r="C9" s="15" t="str">
        <x:v>Belgium</x:v>
      </x:c>
      <x:c r="D9" s="19" t="n">
        <x:v>1809.91</x:v>
      </x:c>
      <x:c r="E9" s="19" t="n">
        <x:v>0</x:v>
      </x:c>
      <x:c r="F9" s="19" t="n">
        <x:v>1809.91</x:v>
      </x:c>
      <x:c r="G9" s="15" t="n">
        <x:v>5</x:v>
      </x:c>
      <x:c r="H9" s="15"/>
      <x:c r="I9" s="15"/>
      <x:c r="J9" s="15"/>
      <x:c r="K9" s="15"/>
      <x:c r="L9" s="15"/>
    </x:row>
    <x:row r="10" ht="23" customHeight="1">
      <x:c r="A10" s="15" t="str">
        <x:v>2010-12</x:v>
      </x:c>
      <x:c r="B10" s="15" t="n">
        <x:v>201012</x:v>
      </x:c>
      <x:c r="C10" s="15" t="str">
        <x:v>Channel Islands</x:v>
      </x:c>
      <x:c r="D10" s="19" t="n">
        <x:v>363.53</x:v>
      </x:c>
      <x:c r="E10" s="19" t="n">
        <x:v>0</x:v>
      </x:c>
      <x:c r="F10" s="19" t="n">
        <x:v>363.53</x:v>
      </x:c>
      <x:c r="G10" s="15" t="n">
        <x:v>1</x:v>
      </x:c>
      <x:c r="H10" s="15"/>
      <x:c r="I10" s="15"/>
      <x:c r="J10" s="15"/>
      <x:c r="K10" s="15"/>
      <x:c r="L10" s="15"/>
    </x:row>
    <x:row r="11" ht="23" customHeight="1">
      <x:c r="A11" s="15" t="str">
        <x:v>2010-12</x:v>
      </x:c>
      <x:c r="B11" s="15" t="n">
        <x:v>201012</x:v>
      </x:c>
      <x:c r="C11" s="15" t="str">
        <x:v>Cyprus</x:v>
      </x:c>
      <x:c r="D11" s="19" t="n">
        <x:v>1587.07</x:v>
      </x:c>
      <x:c r="E11" s="19" t="n">
        <x:v>0</x:v>
      </x:c>
      <x:c r="F11" s="19" t="n">
        <x:v>1587.07</x:v>
      </x:c>
      <x:c r="G11" s="15" t="n">
        <x:v>1</x:v>
      </x:c>
      <x:c r="H11" s="15"/>
      <x:c r="I11" s="15"/>
      <x:c r="J11" s="15"/>
      <x:c r="K11" s="15"/>
      <x:c r="L11" s="15"/>
    </x:row>
    <x:row r="12" ht="23" customHeight="1">
      <x:c r="A12" s="15" t="str">
        <x:v>2010-12</x:v>
      </x:c>
      <x:c r="B12" s="15" t="n">
        <x:v>201012</x:v>
      </x:c>
      <x:c r="C12" s="15" t="str">
        <x:v>Denmark</x:v>
      </x:c>
      <x:c r="D12" s="19" t="n">
        <x:v>1281.5</x:v>
      </x:c>
      <x:c r="E12" s="19" t="n">
        <x:v>0</x:v>
      </x:c>
      <x:c r="F12" s="19" t="n">
        <x:v>1281.5</x:v>
      </x:c>
      <x:c r="G12" s="15" t="n">
        <x:v>1</x:v>
      </x:c>
      <x:c r="H12" s="15"/>
      <x:c r="I12" s="15"/>
      <x:c r="J12" s="15"/>
      <x:c r="K12" s="15"/>
      <x:c r="L12" s="15"/>
    </x:row>
    <x:row r="13" ht="23" customHeight="1">
      <x:c r="A13" s="15" t="str">
        <x:v>2010-12</x:v>
      </x:c>
      <x:c r="B13" s="15" t="n">
        <x:v>201012</x:v>
      </x:c>
      <x:c r="C13" s="15" t="str">
        <x:v>EIRE</x:v>
      </x:c>
      <x:c r="D13" s="19" t="n">
        <x:v>10033.26</x:v>
      </x:c>
      <x:c r="E13" s="19" t="n">
        <x:v>1003.31</x:v>
      </x:c>
      <x:c r="F13" s="19" t="n">
        <x:v>9029.95</x:v>
      </x:c>
      <x:c r="G13" s="15" t="n">
        <x:v>17</x:v>
      </x:c>
      <x:c r="H13" s="15"/>
      <x:c r="I13" s="15"/>
      <x:c r="J13" s="15"/>
      <x:c r="K13" s="15"/>
      <x:c r="L13" s="15"/>
    </x:row>
    <x:row r="14" ht="23" customHeight="1">
      <x:c r="A14" s="15" t="str">
        <x:v>2010-12</x:v>
      </x:c>
      <x:c r="B14" s="15" t="n">
        <x:v>201012</x:v>
      </x:c>
      <x:c r="C14" s="15" t="str">
        <x:v>Finland</x:v>
      </x:c>
      <x:c r="D14" s="19" t="n">
        <x:v>892.8</x:v>
      </x:c>
      <x:c r="E14" s="19" t="n">
        <x:v>0</x:v>
      </x:c>
      <x:c r="F14" s="19" t="n">
        <x:v>892.8</x:v>
      </x:c>
      <x:c r="G14" s="15" t="n">
        <x:v>1</x:v>
      </x:c>
      <x:c r="H14" s="15"/>
      <x:c r="I14" s="15"/>
      <x:c r="J14" s="15"/>
      <x:c r="K14" s="15"/>
      <x:c r="L14" s="15"/>
    </x:row>
    <x:row r="15" ht="23" customHeight="1">
      <x:c r="A15" s="15" t="str">
        <x:v>2010-12</x:v>
      </x:c>
      <x:c r="B15" s="15" t="n">
        <x:v>201012</x:v>
      </x:c>
      <x:c r="C15" s="15" t="str">
        <x:v>France</x:v>
      </x:c>
      <x:c r="D15" s="19" t="n">
        <x:v>9616.31</x:v>
      </x:c>
      <x:c r="E15" s="19" t="n">
        <x:v>40.95</x:v>
      </x:c>
      <x:c r="F15" s="19" t="n">
        <x:v>9575.36</x:v>
      </x:c>
      <x:c r="G15" s="15" t="n">
        <x:v>21</x:v>
      </x:c>
      <x:c r="H15" s="15"/>
      <x:c r="I15" s="15"/>
      <x:c r="J15" s="15"/>
      <x:c r="K15" s="15"/>
      <x:c r="L15" s="15"/>
    </x:row>
    <x:row r="16" ht="23" customHeight="1">
      <x:c r="A16" s="15" t="str">
        <x:v>2010-12</x:v>
      </x:c>
      <x:c r="B16" s="15" t="n">
        <x:v>201012</x:v>
      </x:c>
      <x:c r="C16" s="15" t="str">
        <x:v>Germany</x:v>
      </x:c>
      <x:c r="D16" s="19" t="n">
        <x:v>15205.74</x:v>
      </x:c>
      <x:c r="E16" s="19" t="n">
        <x:v>678.3</x:v>
      </x:c>
      <x:c r="F16" s="19" t="n">
        <x:v>14527.44</x:v>
      </x:c>
      <x:c r="G16" s="15" t="n">
        <x:v>30</x:v>
      </x:c>
      <x:c r="H16" s="15"/>
      <x:c r="I16" s="15"/>
      <x:c r="J16" s="15"/>
      <x:c r="K16" s="15"/>
      <x:c r="L16" s="15"/>
    </x:row>
    <x:row r="17" ht="23" customHeight="1">
      <x:c r="A17" s="15" t="str">
        <x:v>2010-12</x:v>
      </x:c>
      <x:c r="B17" s="15" t="n">
        <x:v>201012</x:v>
      </x:c>
      <x:c r="C17" s="15" t="str">
        <x:v>Iceland</x:v>
      </x:c>
      <x:c r="D17" s="19" t="n">
        <x:v>711.79</x:v>
      </x:c>
      <x:c r="E17" s="19" t="n">
        <x:v>0</x:v>
      </x:c>
      <x:c r="F17" s="19" t="n">
        <x:v>711.79</x:v>
      </x:c>
      <x:c r="G17" s="15" t="n">
        <x:v>1</x:v>
      </x:c>
      <x:c r="H17" s="15"/>
      <x:c r="I17" s="15"/>
      <x:c r="J17" s="15"/>
      <x:c r="K17" s="15"/>
      <x:c r="L17" s="15"/>
    </x:row>
    <x:row r="18" ht="23" customHeight="1">
      <x:c r="A18" s="15" t="str">
        <x:v>2010-12</x:v>
      </x:c>
      <x:c r="B18" s="15" t="n">
        <x:v>201012</x:v>
      </x:c>
      <x:c r="C18" s="15" t="str">
        <x:v>Israel</x:v>
      </x:c>
      <x:c r="D18" s="19" t="n">
        <x:v>0</x:v>
      </x:c>
      <x:c r="E18" s="19" t="n">
        <x:v>227.44</x:v>
      </x:c>
      <x:c r="F18" s="19" t="n">
        <x:v>-227.44</x:v>
      </x:c>
      <x:c r="G18" s="15" t="n">
        <x:v>0</x:v>
      </x:c>
      <x:c r="H18" s="15"/>
      <x:c r="I18" s="15"/>
      <x:c r="J18" s="15"/>
      <x:c r="K18" s="15"/>
      <x:c r="L18" s="15"/>
    </x:row>
    <x:row r="19" ht="23" customHeight="1">
      <x:c r="A19" s="15" t="str">
        <x:v>2010-12</x:v>
      </x:c>
      <x:c r="B19" s="15" t="n">
        <x:v>201012</x:v>
      </x:c>
      <x:c r="C19" s="15" t="str">
        <x:v>Italy</x:v>
      </x:c>
      <x:c r="D19" s="19" t="n">
        <x:v>811.5</x:v>
      </x:c>
      <x:c r="E19" s="19" t="n">
        <x:v>17</x:v>
      </x:c>
      <x:c r="F19" s="19" t="n">
        <x:v>794.5</x:v>
      </x:c>
      <x:c r="G19" s="15" t="n">
        <x:v>2</x:v>
      </x:c>
      <x:c r="H19" s="15"/>
      <x:c r="I19" s="15"/>
      <x:c r="J19" s="15"/>
      <x:c r="K19" s="15"/>
      <x:c r="L19" s="15"/>
    </x:row>
    <x:row r="20" ht="23" customHeight="1">
      <x:c r="A20" s="15" t="str">
        <x:v>2010-12</x:v>
      </x:c>
      <x:c r="B20" s="15" t="n">
        <x:v>201012</x:v>
      </x:c>
      <x:c r="C20" s="15" t="str">
        <x:v>Japan</x:v>
      </x:c>
      <x:c r="D20" s="19" t="n">
        <x:v>7705.07</x:v>
      </x:c>
      <x:c r="E20" s="19" t="n">
        <x:v>0</x:v>
      </x:c>
      <x:c r="F20" s="19" t="n">
        <x:v>7705.07</x:v>
      </x:c>
      <x:c r="G20" s="15" t="n">
        <x:v>3</x:v>
      </x:c>
      <x:c r="H20" s="15"/>
      <x:c r="I20" s="15"/>
      <x:c r="J20" s="15"/>
      <x:c r="K20" s="15"/>
      <x:c r="L20" s="15"/>
    </x:row>
    <x:row r="21" ht="23" customHeight="1">
      <x:c r="A21" s="15" t="str">
        <x:v>2010-12</x:v>
      </x:c>
      <x:c r="B21" s="15" t="n">
        <x:v>201012</x:v>
      </x:c>
      <x:c r="C21" s="15" t="str">
        <x:v>Lithuania</x:v>
      </x:c>
      <x:c r="D21" s="19" t="n">
        <x:v>1661.06</x:v>
      </x:c>
      <x:c r="E21" s="19" t="n">
        <x:v>0</x:v>
      </x:c>
      <x:c r="F21" s="19" t="n">
        <x:v>1661.06</x:v>
      </x:c>
      <x:c r="G21" s="15" t="n">
        <x:v>4</x:v>
      </x:c>
      <x:c r="H21" s="15"/>
      <x:c r="I21" s="15"/>
      <x:c r="J21" s="15"/>
      <x:c r="K21" s="15"/>
      <x:c r="L21" s="15"/>
    </x:row>
    <x:row r="22" ht="23" customHeight="1">
      <x:c r="A22" s="15" t="str">
        <x:v>2010-12</x:v>
      </x:c>
      <x:c r="B22" s="15" t="n">
        <x:v>201012</x:v>
      </x:c>
      <x:c r="C22" s="15" t="str">
        <x:v>Netherlands</x:v>
      </x:c>
      <x:c r="D22" s="19" t="n">
        <x:v>8784.48</x:v>
      </x:c>
      <x:c r="E22" s="19" t="n">
        <x:v>0</x:v>
      </x:c>
      <x:c r="F22" s="19" t="n">
        <x:v>8784.48</x:v>
      </x:c>
      <x:c r="G22" s="15" t="n">
        <x:v>3</x:v>
      </x:c>
      <x:c r="H22" s="15"/>
      <x:c r="I22" s="15"/>
      <x:c r="J22" s="15"/>
      <x:c r="K22" s="15"/>
      <x:c r="L22" s="15"/>
    </x:row>
    <x:row r="23" ht="23" customHeight="1">
      <x:c r="A23" s="15" t="str">
        <x:v>2010-12</x:v>
      </x:c>
      <x:c r="B23" s="15" t="n">
        <x:v>201012</x:v>
      </x:c>
      <x:c r="C23" s="15" t="str">
        <x:v>Norway</x:v>
      </x:c>
      <x:c r="D23" s="19" t="n">
        <x:v>3787.12</x:v>
      </x:c>
      <x:c r="E23" s="19" t="n">
        <x:v>0</x:v>
      </x:c>
      <x:c r="F23" s="19" t="n">
        <x:v>3787.12</x:v>
      </x:c>
      <x:c r="G23" s="15" t="n">
        <x:v>2</x:v>
      </x:c>
      <x:c r="H23" s="15"/>
      <x:c r="I23" s="15"/>
      <x:c r="J23" s="15"/>
      <x:c r="K23" s="15"/>
      <x:c r="L23" s="15"/>
    </x:row>
    <x:row r="24" ht="23" customHeight="1">
      <x:c r="A24" s="15" t="str">
        <x:v>2010-12</x:v>
      </x:c>
      <x:c r="B24" s="15" t="n">
        <x:v>201012</x:v>
      </x:c>
      <x:c r="C24" s="15" t="str">
        <x:v>Poland</x:v>
      </x:c>
      <x:c r="D24" s="19" t="n">
        <x:v>248.16</x:v>
      </x:c>
      <x:c r="E24" s="19" t="n">
        <x:v>0</x:v>
      </x:c>
      <x:c r="F24" s="19" t="n">
        <x:v>248.16</x:v>
      </x:c>
      <x:c r="G24" s="15" t="n">
        <x:v>1</x:v>
      </x:c>
      <x:c r="H24" s="15"/>
      <x:c r="I24" s="15"/>
      <x:c r="J24" s="15"/>
      <x:c r="K24" s="15"/>
      <x:c r="L24" s="15"/>
    </x:row>
    <x:row r="25" ht="23" customHeight="1">
      <x:c r="A25" s="15" t="str">
        <x:v>2010-12</x:v>
      </x:c>
      <x:c r="B25" s="15" t="n">
        <x:v>201012</x:v>
      </x:c>
      <x:c r="C25" s="15" t="str">
        <x:v>Portugal</x:v>
      </x:c>
      <x:c r="D25" s="19" t="n">
        <x:v>2439.97</x:v>
      </x:c>
      <x:c r="E25" s="19" t="n">
        <x:v>59.85</x:v>
      </x:c>
      <x:c r="F25" s="19" t="n">
        <x:v>2380.12</x:v>
      </x:c>
      <x:c r="G25" s="15" t="n">
        <x:v>6</x:v>
      </x:c>
      <x:c r="H25" s="15"/>
      <x:c r="I25" s="15"/>
      <x:c r="J25" s="15"/>
      <x:c r="K25" s="15"/>
      <x:c r="L25" s="15"/>
    </x:row>
    <x:row r="26" ht="23" customHeight="1">
      <x:c r="A26" s="15" t="str">
        <x:v>2010-12</x:v>
      </x:c>
      <x:c r="B26" s="15" t="n">
        <x:v>201012</x:v>
      </x:c>
      <x:c r="C26" s="15" t="str">
        <x:v>Spain</x:v>
      </x:c>
      <x:c r="D26" s="19" t="n">
        <x:v>1843.73</x:v>
      </x:c>
      <x:c r="E26" s="19" t="n">
        <x:v>0</x:v>
      </x:c>
      <x:c r="F26" s="19" t="n">
        <x:v>1843.73</x:v>
      </x:c>
      <x:c r="G26" s="15" t="n">
        <x:v>4</x:v>
      </x:c>
      <x:c r="H26" s="15"/>
      <x:c r="I26" s="15"/>
      <x:c r="J26" s="15"/>
      <x:c r="K26" s="15"/>
      <x:c r="L26" s="15"/>
    </x:row>
    <x:row r="27" ht="23" customHeight="1">
      <x:c r="A27" s="15" t="str">
        <x:v>2010-12</x:v>
      </x:c>
      <x:c r="B27" s="15" t="n">
        <x:v>201012</x:v>
      </x:c>
      <x:c r="C27" s="15" t="str">
        <x:v>Sweden</x:v>
      </x:c>
      <x:c r="D27" s="19" t="n">
        <x:v>3834.3</x:v>
      </x:c>
      <x:c r="E27" s="19" t="n">
        <x:v>1188</x:v>
      </x:c>
      <x:c r="F27" s="19" t="n">
        <x:v>2646.3</x:v>
      </x:c>
      <x:c r="G27" s="15" t="n">
        <x:v>2</x:v>
      </x:c>
      <x:c r="H27" s="15"/>
      <x:c r="I27" s="15"/>
      <x:c r="J27" s="15"/>
      <x:c r="K27" s="15"/>
      <x:c r="L27" s="15"/>
    </x:row>
    <x:row r="28" ht="23" customHeight="1">
      <x:c r="A28" s="15" t="str">
        <x:v>2010-12</x:v>
      </x:c>
      <x:c r="B28" s="15" t="n">
        <x:v>201012</x:v>
      </x:c>
      <x:c r="C28" s="15" t="str">
        <x:v>Switzerland</x:v>
      </x:c>
      <x:c r="D28" s="19" t="n">
        <x:v>1304.92</x:v>
      </x:c>
      <x:c r="E28" s="19" t="n">
        <x:v>0</x:v>
      </x:c>
      <x:c r="F28" s="19" t="n">
        <x:v>1304.92</x:v>
      </x:c>
      <x:c r="G28" s="15" t="n">
        <x:v>2</x:v>
      </x:c>
      <x:c r="H28" s="15"/>
      <x:c r="I28" s="15"/>
      <x:c r="J28" s="15"/>
      <x:c r="K28" s="15"/>
      <x:c r="L28" s="15"/>
    </x:row>
    <x:row r="29" ht="23" customHeight="1">
      <x:c r="A29" s="15" t="str">
        <x:v>2010-12</x:v>
      </x:c>
      <x:c r="B29" s="15" t="n">
        <x:v>201012</x:v>
      </x:c>
      <x:c r="C29" s="15" t="str">
        <x:v>United Kingdom</x:v>
      </x:c>
      <x:c r="D29" s="19" t="n">
        <x:v>746082.22</x:v>
      </x:c>
      <x:c r="E29" s="19" t="n">
        <x:v>71466.36</x:v>
      </x:c>
      <x:c r="F29" s="19" t="n">
        <x:v>674615.86</x:v>
      </x:c>
      <x:c r="G29" s="15" t="n">
        <x:v>1447</x:v>
      </x:c>
      <x:c r="H29" s="15"/>
      <x:c r="I29" s="15"/>
      <x:c r="J29" s="15"/>
      <x:c r="K29" s="15"/>
      <x:c r="L29" s="15"/>
    </x:row>
    <x:row r="30" ht="23" customHeight="1">
      <x:c r="A30" s="15" t="str">
        <x:v>2011-01</x:v>
      </x:c>
      <x:c r="B30" s="15" t="n">
        <x:v>201101</x:v>
      </x:c>
      <x:c r="C30" s="15" t="str">
        <x:v>Australia</x:v>
      </x:c>
      <x:c r="D30" s="19" t="n">
        <x:v>9017.71</x:v>
      </x:c>
      <x:c r="E30" s="19" t="n">
        <x:v>0</x:v>
      </x:c>
      <x:c r="F30" s="19" t="n">
        <x:v>9017.71</x:v>
      </x:c>
      <x:c r="G30" s="15" t="n">
        <x:v>9</x:v>
      </x:c>
      <x:c r="H30" s="15"/>
      <x:c r="I30" s="15"/>
      <x:c r="J30" s="15"/>
      <x:c r="K30" s="15"/>
      <x:c r="L30" s="15"/>
    </x:row>
    <x:row r="31" ht="23" customHeight="1">
      <x:c r="A31" s="15" t="str">
        <x:v>2011-01</x:v>
      </x:c>
      <x:c r="B31" s="15" t="n">
        <x:v>201101</x:v>
      </x:c>
      <x:c r="C31" s="15" t="str">
        <x:v>Bahrain</x:v>
      </x:c>
      <x:c r="D31" s="19" t="n">
        <x:v>0</x:v>
      </x:c>
      <x:c r="E31" s="19" t="n">
        <x:v>205.74</x:v>
      </x:c>
      <x:c r="F31" s="19" t="n">
        <x:v>-205.74</x:v>
      </x:c>
      <x:c r="G31" s="15" t="n">
        <x:v>0</x:v>
      </x:c>
      <x:c r="H31" s="15"/>
      <x:c r="I31" s="15"/>
      <x:c r="J31" s="15"/>
      <x:c r="K31" s="15"/>
      <x:c r="L31" s="15"/>
    </x:row>
    <x:row r="32" ht="23" customHeight="1">
      <x:c r="A32" s="15" t="str">
        <x:v>2011-01</x:v>
      </x:c>
      <x:c r="B32" s="15" t="n">
        <x:v>201101</x:v>
      </x:c>
      <x:c r="C32" s="15" t="str">
        <x:v>Belgium</x:v>
      </x:c>
      <x:c r="D32" s="19" t="n">
        <x:v>1200.2</x:v>
      </x:c>
      <x:c r="E32" s="19" t="n">
        <x:v>46.15</x:v>
      </x:c>
      <x:c r="F32" s="19" t="n">
        <x:v>1154.05</x:v>
      </x:c>
      <x:c r="G32" s="15" t="n">
        <x:v>3</x:v>
      </x:c>
      <x:c r="H32" s="15"/>
      <x:c r="I32" s="15"/>
      <x:c r="J32" s="15"/>
      <x:c r="K32" s="15"/>
      <x:c r="L32" s="15"/>
    </x:row>
    <x:row r="33" ht="23" customHeight="1">
      <x:c r="A33" s="15" t="str">
        <x:v>2011-01</x:v>
      </x:c>
      <x:c r="B33" s="15" t="n">
        <x:v>201101</x:v>
      </x:c>
      <x:c r="C33" s="15" t="str">
        <x:v>Channel Islands</x:v>
      </x:c>
      <x:c r="D33" s="19" t="n">
        <x:v>675.58</x:v>
      </x:c>
      <x:c r="E33" s="19" t="n">
        <x:v>30.5</x:v>
      </x:c>
      <x:c r="F33" s="19" t="n">
        <x:v>645.08</x:v>
      </x:c>
      <x:c r="G33" s="15" t="n">
        <x:v>1</x:v>
      </x:c>
      <x:c r="H33" s="15"/>
      <x:c r="I33" s="15"/>
      <x:c r="J33" s="15"/>
      <x:c r="K33" s="15"/>
      <x:c r="L33" s="15"/>
    </x:row>
    <x:row r="34" ht="23" customHeight="1">
      <x:c r="A34" s="15" t="str">
        <x:v>2011-01</x:v>
      </x:c>
      <x:c r="B34" s="15" t="n">
        <x:v>201101</x:v>
      </x:c>
      <x:c r="C34" s="15" t="str">
        <x:v>Cyprus</x:v>
      </x:c>
      <x:c r="D34" s="19" t="n">
        <x:v>547.5</x:v>
      </x:c>
      <x:c r="E34" s="19" t="n">
        <x:v>0</x:v>
      </x:c>
      <x:c r="F34" s="19" t="n">
        <x:v>547.5</x:v>
      </x:c>
      <x:c r="G34" s="15" t="n">
        <x:v>1</x:v>
      </x:c>
      <x:c r="H34" s="15"/>
      <x:c r="I34" s="15"/>
      <x:c r="J34" s="15"/>
      <x:c r="K34" s="15"/>
      <x:c r="L34" s="15"/>
    </x:row>
    <x:row r="35" ht="23" customHeight="1">
      <x:c r="A35" s="15" t="str">
        <x:v>2011-01</x:v>
      </x:c>
      <x:c r="B35" s="15" t="n">
        <x:v>201101</x:v>
      </x:c>
      <x:c r="C35" s="15" t="str">
        <x:v>EIRE</x:v>
      </x:c>
      <x:c r="D35" s="19" t="n">
        <x:v>21904.19</x:v>
      </x:c>
      <x:c r="E35" s="19" t="n">
        <x:v>247.67</x:v>
      </x:c>
      <x:c r="F35" s="19" t="n">
        <x:v>21656.52</x:v>
      </x:c>
      <x:c r="G35" s="15" t="n">
        <x:v>7</x:v>
      </x:c>
      <x:c r="H35" s="15"/>
      <x:c r="I35" s="15"/>
      <x:c r="J35" s="15"/>
      <x:c r="K35" s="15"/>
      <x:c r="L35" s="15"/>
    </x:row>
    <x:row r="36" ht="23" customHeight="1">
      <x:c r="A36" s="15" t="str">
        <x:v>2011-01</x:v>
      </x:c>
      <x:c r="B36" s="15" t="n">
        <x:v>201101</x:v>
      </x:c>
      <x:c r="C36" s="15" t="str">
        <x:v>Finland</x:v>
      </x:c>
      <x:c r="D36" s="19" t="n">
        <x:v>889.02</x:v>
      </x:c>
      <x:c r="E36" s="19" t="n">
        <x:v>0</x:v>
      </x:c>
      <x:c r="F36" s="19" t="n">
        <x:v>889.02</x:v>
      </x:c>
      <x:c r="G36" s="15" t="n">
        <x:v>2</x:v>
      </x:c>
      <x:c r="H36" s="15"/>
      <x:c r="I36" s="15"/>
      <x:c r="J36" s="15"/>
      <x:c r="K36" s="15"/>
      <x:c r="L36" s="15"/>
    </x:row>
    <x:row r="37" ht="23" customHeight="1">
      <x:c r="A37" s="15" t="str">
        <x:v>2011-01</x:v>
      </x:c>
      <x:c r="B37" s="15" t="n">
        <x:v>201101</x:v>
      </x:c>
      <x:c r="C37" s="15" t="str">
        <x:v>France</x:v>
      </x:c>
      <x:c r="D37" s="19" t="n">
        <x:v>17740.12</x:v>
      </x:c>
      <x:c r="E37" s="19" t="n">
        <x:v>237.05</x:v>
      </x:c>
      <x:c r="F37" s="19" t="n">
        <x:v>17503.07</x:v>
      </x:c>
      <x:c r="G37" s="15" t="n">
        <x:v>29</x:v>
      </x:c>
      <x:c r="H37" s="15"/>
      <x:c r="I37" s="15"/>
      <x:c r="J37" s="15"/>
      <x:c r="K37" s="15"/>
      <x:c r="L37" s="15"/>
    </x:row>
    <x:row r="38" ht="23" customHeight="1">
      <x:c r="A38" s="15" t="str">
        <x:v>2011-01</x:v>
      </x:c>
      <x:c r="B38" s="15" t="n">
        <x:v>201101</x:v>
      </x:c>
      <x:c r="C38" s="15" t="str">
        <x:v>Germany</x:v>
      </x:c>
      <x:c r="D38" s="19" t="n">
        <x:v>16880.84</x:v>
      </x:c>
      <x:c r="E38" s="19" t="n">
        <x:v>459.41</x:v>
      </x:c>
      <x:c r="F38" s="19" t="n">
        <x:v>16421.43</x:v>
      </x:c>
      <x:c r="G38" s="15" t="n">
        <x:v>31</x:v>
      </x:c>
      <x:c r="H38" s="15"/>
      <x:c r="I38" s="15"/>
      <x:c r="J38" s="15"/>
      <x:c r="K38" s="15"/>
      <x:c r="L38" s="15"/>
    </x:row>
    <x:row r="39" ht="23" customHeight="1">
      <x:c r="A39" s="15" t="str">
        <x:v>2011-01</x:v>
      </x:c>
      <x:c r="B39" s="15" t="n">
        <x:v>201101</x:v>
      </x:c>
      <x:c r="C39" s="15" t="str">
        <x:v>Greece</x:v>
      </x:c>
      <x:c r="D39" s="19" t="n">
        <x:v>2661.24</x:v>
      </x:c>
      <x:c r="E39" s="19" t="n">
        <x:v>0</x:v>
      </x:c>
      <x:c r="F39" s="19" t="n">
        <x:v>2661.24</x:v>
      </x:c>
      <x:c r="G39" s="15" t="n">
        <x:v>1</x:v>
      </x:c>
      <x:c r="H39" s="15"/>
      <x:c r="I39" s="15"/>
      <x:c r="J39" s="15"/>
      <x:c r="K39" s="15"/>
      <x:c r="L39" s="15"/>
    </x:row>
    <x:row r="40" ht="23" customHeight="1">
      <x:c r="A40" s="15" t="str">
        <x:v>2011-01</x:v>
      </x:c>
      <x:c r="B40" s="15" t="n">
        <x:v>201101</x:v>
      </x:c>
      <x:c r="C40" s="15" t="str">
        <x:v>Hong Kong</x:v>
      </x:c>
      <x:c r="D40" s="19" t="n">
        <x:v>2230.96</x:v>
      </x:c>
      <x:c r="E40" s="19" t="n">
        <x:v>0</x:v>
      </x:c>
      <x:c r="F40" s="19" t="n">
        <x:v>2230.96</x:v>
      </x:c>
      <x:c r="G40" s="15" t="n">
        <x:v>1</x:v>
      </x:c>
      <x:c r="H40" s="15"/>
      <x:c r="I40" s="15"/>
      <x:c r="J40" s="15"/>
      <x:c r="K40" s="15"/>
      <x:c r="L40" s="15"/>
    </x:row>
    <x:row r="41" ht="23" customHeight="1">
      <x:c r="A41" s="15" t="str">
        <x:v>2011-01</x:v>
      </x:c>
      <x:c r="B41" s="15" t="n">
        <x:v>201101</x:v>
      </x:c>
      <x:c r="C41" s="15" t="str">
        <x:v>Iceland</x:v>
      </x:c>
      <x:c r="D41" s="19" t="n">
        <x:v>475.39</x:v>
      </x:c>
      <x:c r="E41" s="19" t="n">
        <x:v>0</x:v>
      </x:c>
      <x:c r="F41" s="19" t="n">
        <x:v>475.39</x:v>
      </x:c>
      <x:c r="G41" s="15" t="n">
        <x:v>1</x:v>
      </x:c>
      <x:c r="H41" s="15"/>
      <x:c r="I41" s="15"/>
      <x:c r="J41" s="15"/>
      <x:c r="K41" s="15"/>
      <x:c r="L41" s="15"/>
    </x:row>
    <x:row r="42" ht="23" customHeight="1">
      <x:c r="A42" s="15" t="str">
        <x:v>2011-01</x:v>
      </x:c>
      <x:c r="B42" s="15" t="n">
        <x:v>201101</x:v>
      </x:c>
      <x:c r="C42" s="15" t="str">
        <x:v>Israel</x:v>
      </x:c>
      <x:c r="D42" s="19" t="n">
        <x:v>379.84</x:v>
      </x:c>
      <x:c r="E42" s="19" t="n">
        <x:v>0</x:v>
      </x:c>
      <x:c r="F42" s="19" t="n">
        <x:v>379.84</x:v>
      </x:c>
      <x:c r="G42" s="15" t="n">
        <x:v>1</x:v>
      </x:c>
      <x:c r="H42" s="15"/>
      <x:c r="I42" s="15"/>
      <x:c r="J42" s="15"/>
      <x:c r="K42" s="15"/>
      <x:c r="L42" s="15"/>
    </x:row>
    <x:row r="43" ht="23" customHeight="1">
      <x:c r="A43" s="15" t="str">
        <x:v>2011-01</x:v>
      </x:c>
      <x:c r="B43" s="15" t="n">
        <x:v>201101</x:v>
      </x:c>
      <x:c r="C43" s="15" t="str">
        <x:v>Italy</x:v>
      </x:c>
      <x:c r="D43" s="19" t="n">
        <x:v>2402.51</x:v>
      </x:c>
      <x:c r="E43" s="19" t="n">
        <x:v>41.15</x:v>
      </x:c>
      <x:c r="F43" s="19" t="n">
        <x:v>2361.36</x:v>
      </x:c>
      <x:c r="G43" s="15" t="n">
        <x:v>3</x:v>
      </x:c>
      <x:c r="H43" s="15"/>
      <x:c r="I43" s="15"/>
      <x:c r="J43" s="15"/>
      <x:c r="K43" s="15"/>
      <x:c r="L43" s="15"/>
    </x:row>
    <x:row r="44" ht="23" customHeight="1">
      <x:c r="A44" s="15" t="str">
        <x:v>2011-01</x:v>
      </x:c>
      <x:c r="B44" s="15" t="n">
        <x:v>201101</x:v>
      </x:c>
      <x:c r="C44" s="15" t="str">
        <x:v>Japan</x:v>
      </x:c>
      <x:c r="D44" s="19" t="n">
        <x:v>0</x:v>
      </x:c>
      <x:c r="E44" s="19" t="n">
        <x:v>109.8</x:v>
      </x:c>
      <x:c r="F44" s="19" t="n">
        <x:v>-109.8</x:v>
      </x:c>
      <x:c r="G44" s="15" t="n">
        <x:v>0</x:v>
      </x:c>
      <x:c r="H44" s="15"/>
      <x:c r="I44" s="15"/>
      <x:c r="J44" s="15"/>
      <x:c r="K44" s="15"/>
      <x:c r="L44" s="15"/>
    </x:row>
    <x:row r="45" ht="23" customHeight="1">
      <x:c r="A45" s="15" t="str">
        <x:v>2011-01</x:v>
      </x:c>
      <x:c r="B45" s="15" t="n">
        <x:v>201101</x:v>
      </x:c>
      <x:c r="C45" s="15" t="str">
        <x:v>Lebanon</x:v>
      </x:c>
      <x:c r="D45" s="19" t="n">
        <x:v>1693.88</x:v>
      </x:c>
      <x:c r="E45" s="19" t="n">
        <x:v>0</x:v>
      </x:c>
      <x:c r="F45" s="19" t="n">
        <x:v>1693.88</x:v>
      </x:c>
      <x:c r="G45" s="15" t="n">
        <x:v>1</x:v>
      </x:c>
      <x:c r="H45" s="15"/>
      <x:c r="I45" s="15"/>
      <x:c r="J45" s="15"/>
      <x:c r="K45" s="15"/>
      <x:c r="L45" s="15"/>
    </x:row>
    <x:row r="46" ht="23" customHeight="1">
      <x:c r="A46" t="str">
        <x:v>2011-01</x:v>
      </x:c>
      <x:c r="B46" t="n">
        <x:v>201101</x:v>
      </x:c>
      <x:c r="C46" t="str">
        <x:v>Netherlands</x:v>
      </x:c>
      <x:c r="D46" s="20" t="n">
        <x:v>26611.16</x:v>
      </x:c>
      <x:c r="E46" s="20" t="n">
        <x:v>0</x:v>
      </x:c>
      <x:c r="F46" s="20" t="n">
        <x:v>26611.16</x:v>
      </x:c>
      <x:c r="G46" t="n">
        <x:v>5</x:v>
      </x:c>
    </x:row>
    <x:row r="47" ht="23" customHeight="1">
      <x:c r="A47" t="str">
        <x:v>2011-01</x:v>
      </x:c>
      <x:c r="B47" t="n">
        <x:v>201101</x:v>
      </x:c>
      <x:c r="C47" t="str">
        <x:v>Poland</x:v>
      </x:c>
      <x:c r="D47" s="20" t="n">
        <x:v>613.22</x:v>
      </x:c>
      <x:c r="E47" s="20" t="n">
        <x:v>0</x:v>
      </x:c>
      <x:c r="F47" s="20" t="n">
        <x:v>613.22</x:v>
      </x:c>
      <x:c r="G47" t="n">
        <x:v>1</x:v>
      </x:c>
    </x:row>
    <x:row r="48" ht="23" customHeight="1">
      <x:c r="A48" t="str">
        <x:v>2011-01</x:v>
      </x:c>
      <x:c r="B48" t="n">
        <x:v>201101</x:v>
      </x:c>
      <x:c r="C48" t="str">
        <x:v>Portugal</x:v>
      </x:c>
      <x:c r="D48" s="20" t="n">
        <x:v>4055.71</x:v>
      </x:c>
      <x:c r="E48" s="20" t="n">
        <x:v>57.6</x:v>
      </x:c>
      <x:c r="F48" s="20" t="n">
        <x:v>3998.11</x:v>
      </x:c>
      <x:c r="G48" t="n">
        <x:v>4</x:v>
      </x:c>
    </x:row>
    <x:row r="49" ht="23" customHeight="1">
      <x:c r="A49" t="str">
        <x:v>2011-01</x:v>
      </x:c>
      <x:c r="B49" t="n">
        <x:v>201101</x:v>
      </x:c>
      <x:c r="C49" t="str">
        <x:v>Singapore</x:v>
      </x:c>
      <x:c r="D49" s="20" t="n">
        <x:v>2053.07</x:v>
      </x:c>
      <x:c r="E49" s="20" t="n">
        <x:v>0</x:v>
      </x:c>
      <x:c r="F49" s="20" t="n">
        <x:v>2053.07</x:v>
      </x:c>
      <x:c r="G49" t="n">
        <x:v>1</x:v>
      </x:c>
    </x:row>
    <x:row r="50" ht="23" customHeight="1">
      <x:c r="A50" t="str">
        <x:v>2011-01</x:v>
      </x:c>
      <x:c r="B50" t="n">
        <x:v>201101</x:v>
      </x:c>
      <x:c r="C50" t="str">
        <x:v>Spain</x:v>
      </x:c>
      <x:c r="D50" s="20" t="n">
        <x:v>10086.09</x:v>
      </x:c>
      <x:c r="E50" s="20" t="n">
        <x:v>2907.55</x:v>
      </x:c>
      <x:c r="F50" s="20" t="n">
        <x:v>7178.54</x:v>
      </x:c>
      <x:c r="G50" t="n">
        <x:v>8</x:v>
      </x:c>
    </x:row>
    <x:row r="51" ht="23" customHeight="1">
      <x:c r="A51" t="str">
        <x:v>2011-01</x:v>
      </x:c>
      <x:c r="B51" t="n">
        <x:v>201101</x:v>
      </x:c>
      <x:c r="C51" t="str">
        <x:v>Sweden</x:v>
      </x:c>
      <x:c r="D51" s="20" t="n">
        <x:v>3486.32</x:v>
      </x:c>
      <x:c r="E51" s="20" t="n">
        <x:v>40</x:v>
      </x:c>
      <x:c r="F51" s="20" t="n">
        <x:v>3446.32</x:v>
      </x:c>
      <x:c r="G51" t="n">
        <x:v>2</x:v>
      </x:c>
    </x:row>
    <x:row r="52" ht="23" customHeight="1">
      <x:c r="A52" t="str">
        <x:v>2011-01</x:v>
      </x:c>
      <x:c r="B52" t="n">
        <x:v>201101</x:v>
      </x:c>
      <x:c r="C52" t="str">
        <x:v>Switzerland</x:v>
      </x:c>
      <x:c r="D52" s="20" t="n">
        <x:v>4231.23</x:v>
      </x:c>
      <x:c r="E52" s="20" t="n">
        <x:v>0</x:v>
      </x:c>
      <x:c r="F52" s="20" t="n">
        <x:v>4231.23</x:v>
      </x:c>
      <x:c r="G52" t="n">
        <x:v>3</x:v>
      </x:c>
    </x:row>
    <x:row r="53" ht="23" customHeight="1">
      <x:c r="A53" t="str">
        <x:v>2011-01</x:v>
      </x:c>
      <x:c r="B53" t="n">
        <x:v>201101</x:v>
      </x:c>
      <x:c r="C53" t="str">
        <x:v>United Kingdom</x:v>
      </x:c>
      <x:c r="D53" s="20" t="n">
        <x:v>559975.83</x:v>
      </x:c>
      <x:c r="E53" s="20" t="n">
        <x:v>126980.43</x:v>
      </x:c>
      <x:c r="F53" s="20" t="n">
        <x:v>432995.4</x:v>
      </x:c>
      <x:c r="G53" t="n">
        <x:v>971</x:v>
      </x:c>
    </x:row>
    <x:row r="54" ht="23" customHeight="1">
      <x:c r="A54" t="str">
        <x:v>2011-02</x:v>
      </x:c>
      <x:c r="B54" t="n">
        <x:v>201102</x:v>
      </x:c>
      <x:c r="C54" t="str">
        <x:v>Australia</x:v>
      </x:c>
      <x:c r="D54" s="20" t="n">
        <x:v>14695.42</x:v>
      </x:c>
      <x:c r="E54" s="20" t="n">
        <x:v>67.95</x:v>
      </x:c>
      <x:c r="F54" s="20" t="n">
        <x:v>14627.47</x:v>
      </x:c>
      <x:c r="G54" t="n">
        <x:v>5</x:v>
      </x:c>
    </x:row>
    <x:row r="55" ht="23" customHeight="1">
      <x:c r="A55" t="str">
        <x:v>2011-02</x:v>
      </x:c>
      <x:c r="B55" t="n">
        <x:v>201102</x:v>
      </x:c>
      <x:c r="C55" t="str">
        <x:v>Austria</x:v>
      </x:c>
      <x:c r="D55" s="20" t="n">
        <x:v>518.36</x:v>
      </x:c>
      <x:c r="E55" s="20" t="n">
        <x:v>0</x:v>
      </x:c>
      <x:c r="F55" s="20" t="n">
        <x:v>518.36</x:v>
      </x:c>
      <x:c r="G55" t="n">
        <x:v>2</x:v>
      </x:c>
    </x:row>
    <x:row r="56" ht="23" customHeight="1">
      <x:c r="A56" t="str">
        <x:v>2011-02</x:v>
      </x:c>
      <x:c r="B56" t="n">
        <x:v>201102</x:v>
      </x:c>
      <x:c r="C56" t="str">
        <x:v>Belgium</x:v>
      </x:c>
      <x:c r="D56" s="20" t="n">
        <x:v>2181.07</x:v>
      </x:c>
      <x:c r="E56" s="20" t="n">
        <x:v>19.75</x:v>
      </x:c>
      <x:c r="F56" s="20" t="n">
        <x:v>2161.32</x:v>
      </x:c>
      <x:c r="G56" t="n">
        <x:v>8</x:v>
      </x:c>
    </x:row>
    <x:row r="57" ht="23" customHeight="1">
      <x:c r="A57" t="str">
        <x:v>2011-02</x:v>
      </x:c>
      <x:c r="B57" t="n">
        <x:v>201102</x:v>
      </x:c>
      <x:c r="C57" t="str">
        <x:v>Channel Islands</x:v>
      </x:c>
      <x:c r="D57" s="20" t="n">
        <x:v>1784.71</x:v>
      </x:c>
      <x:c r="E57" s="20" t="n">
        <x:v>0</x:v>
      </x:c>
      <x:c r="F57" s="20" t="n">
        <x:v>1784.71</x:v>
      </x:c>
      <x:c r="G57" t="n">
        <x:v>1</x:v>
      </x:c>
    </x:row>
    <x:row r="58" ht="23" customHeight="1">
      <x:c r="A58" t="str">
        <x:v>2011-02</x:v>
      </x:c>
      <x:c r="B58" t="n">
        <x:v>201102</x:v>
      </x:c>
      <x:c r="C58" t="str">
        <x:v>Cyprus</x:v>
      </x:c>
      <x:c r="D58" s="20" t="n">
        <x:v>4334.24</x:v>
      </x:c>
      <x:c r="E58" s="20" t="n">
        <x:v>320.69</x:v>
      </x:c>
      <x:c r="F58" s="20" t="n">
        <x:v>4013.55</x:v>
      </x:c>
      <x:c r="G58" t="n">
        <x:v>6</x:v>
      </x:c>
    </x:row>
    <x:row r="59" ht="23" customHeight="1">
      <x:c r="A59" t="str">
        <x:v>2011-02</x:v>
      </x:c>
      <x:c r="B59" t="n">
        <x:v>201102</x:v>
      </x:c>
      <x:c r="C59" t="str">
        <x:v>Czech Republic</x:v>
      </x:c>
      <x:c r="D59" s="20" t="n">
        <x:v>549.26</x:v>
      </x:c>
      <x:c r="E59" s="20" t="n">
        <x:v>0</x:v>
      </x:c>
      <x:c r="F59" s="20" t="n">
        <x:v>549.26</x:v>
      </x:c>
      <x:c r="G59" t="n">
        <x:v>1</x:v>
      </x:c>
    </x:row>
    <x:row r="60" ht="23" customHeight="1">
      <x:c r="A60" t="str">
        <x:v>2011-02</x:v>
      </x:c>
      <x:c r="B60" t="n">
        <x:v>201102</x:v>
      </x:c>
      <x:c r="C60" t="str">
        <x:v>Denmark</x:v>
      </x:c>
      <x:c r="D60" s="20" t="n">
        <x:v>399.22</x:v>
      </x:c>
      <x:c r="E60" s="20" t="n">
        <x:v>0</x:v>
      </x:c>
      <x:c r="F60" s="20" t="n">
        <x:v>399.22</x:v>
      </x:c>
      <x:c r="G60" t="n">
        <x:v>1</x:v>
      </x:c>
    </x:row>
    <x:row r="61" ht="23" customHeight="1">
      <x:c r="A61" t="str">
        <x:v>2011-02</x:v>
      </x:c>
      <x:c r="B61" t="n">
        <x:v>201102</x:v>
      </x:c>
      <x:c r="C61" t="str">
        <x:v>EIRE</x:v>
      </x:c>
      <x:c r="D61" s="20" t="n">
        <x:v>12203.74</x:v>
      </x:c>
      <x:c r="E61" s="20" t="n">
        <x:v>2574.6</x:v>
      </x:c>
      <x:c r="F61" s="20" t="n">
        <x:v>9629.14</x:v>
      </x:c>
      <x:c r="G61" t="n">
        <x:v>13</x:v>
      </x:c>
    </x:row>
    <x:row r="62" ht="23" customHeight="1">
      <x:c r="A62" t="str">
        <x:v>2011-02</x:v>
      </x:c>
      <x:c r="B62" t="n">
        <x:v>201102</x:v>
      </x:c>
      <x:c r="C62" t="str">
        <x:v>Finland</x:v>
      </x:c>
      <x:c r="D62" s="20" t="n">
        <x:v>205.16</x:v>
      </x:c>
      <x:c r="E62" s="20" t="n">
        <x:v>0</x:v>
      </x:c>
      <x:c r="F62" s="20" t="n">
        <x:v>205.16</x:v>
      </x:c>
      <x:c r="G62" t="n">
        <x:v>1</x:v>
      </x:c>
    </x:row>
    <x:row r="63" ht="23" customHeight="1">
      <x:c r="A63" t="str">
        <x:v>2011-02</x:v>
      </x:c>
      <x:c r="B63" t="n">
        <x:v>201102</x:v>
      </x:c>
      <x:c r="C63" t="str">
        <x:v>France</x:v>
      </x:c>
      <x:c r="D63" s="20" t="n">
        <x:v>8515.96</x:v>
      </x:c>
      <x:c r="E63" s="20" t="n">
        <x:v>77.05</x:v>
      </x:c>
      <x:c r="F63" s="20" t="n">
        <x:v>8438.91</x:v>
      </x:c>
      <x:c r="G63" t="n">
        <x:v>21</x:v>
      </x:c>
    </x:row>
    <x:row r="64" ht="23" customHeight="1">
      <x:c r="A64" t="str">
        <x:v>2011-02</x:v>
      </x:c>
      <x:c r="B64" t="n">
        <x:v>201102</x:v>
      </x:c>
      <x:c r="C64" t="str">
        <x:v>Germany</x:v>
      </x:c>
      <x:c r="D64" s="20" t="n">
        <x:v>9581.05</x:v>
      </x:c>
      <x:c r="E64" s="20" t="n">
        <x:v>611.81</x:v>
      </x:c>
      <x:c r="F64" s="20" t="n">
        <x:v>8969.24</x:v>
      </x:c>
      <x:c r="G64" t="n">
        <x:v>19</x:v>
      </x:c>
    </x:row>
    <x:row r="65" ht="23" customHeight="1">
      <x:c r="A65" t="str">
        <x:v>2011-02</x:v>
      </x:c>
      <x:c r="B65" t="n">
        <x:v>201102</x:v>
      </x:c>
      <x:c r="C65" t="str">
        <x:v>Israel</x:v>
      </x:c>
      <x:c r="D65" s="20" t="n">
        <x:v>779.1</x:v>
      </x:c>
      <x:c r="E65" s="20" t="n">
        <x:v>0</x:v>
      </x:c>
      <x:c r="F65" s="20" t="n">
        <x:v>779.1</x:v>
      </x:c>
      <x:c r="G65" t="n">
        <x:v>1</x:v>
      </x:c>
    </x:row>
    <x:row r="66" ht="23" customHeight="1">
      <x:c r="A66" t="str">
        <x:v>2011-02</x:v>
      </x:c>
      <x:c r="B66" t="n">
        <x:v>201102</x:v>
      </x:c>
      <x:c r="C66" t="str">
        <x:v>Italy</x:v>
      </x:c>
      <x:c r="D66" s="20" t="n">
        <x:v>256</x:v>
      </x:c>
      <x:c r="E66" s="20" t="n">
        <x:v>4.5</x:v>
      </x:c>
      <x:c r="F66" s="20" t="n">
        <x:v>251.5</x:v>
      </x:c>
      <x:c r="G66" t="n">
        <x:v>1</x:v>
      </x:c>
    </x:row>
    <x:row r="67" ht="23" customHeight="1">
      <x:c r="A67" t="str">
        <x:v>2011-02</x:v>
      </x:c>
      <x:c r="B67" t="n">
        <x:v>201102</x:v>
      </x:c>
      <x:c r="C67" t="str">
        <x:v>Japan</x:v>
      </x:c>
      <x:c r="D67" s="20" t="n">
        <x:v>5780.81</x:v>
      </x:c>
      <x:c r="E67" s="20" t="n">
        <x:v>0</x:v>
      </x:c>
      <x:c r="F67" s="20" t="n">
        <x:v>5780.81</x:v>
      </x:c>
      <x:c r="G67" t="n">
        <x:v>2</x:v>
      </x:c>
    </x:row>
    <x:row r="68" ht="23" customHeight="1">
      <x:c r="A68" t="str">
        <x:v>2011-02</x:v>
      </x:c>
      <x:c r="B68" t="n">
        <x:v>201102</x:v>
      </x:c>
      <x:c r="C68" t="str">
        <x:v>Netherlands</x:v>
      </x:c>
      <x:c r="D68" s="20" t="n">
        <x:v>23011.91</x:v>
      </x:c>
      <x:c r="E68" s="20" t="n">
        <x:v>79.8</x:v>
      </x:c>
      <x:c r="F68" s="20" t="n">
        <x:v>22932.11</x:v>
      </x:c>
      <x:c r="G68" t="n">
        <x:v>5</x:v>
      </x:c>
    </x:row>
    <x:row r="69" ht="23" customHeight="1">
      <x:c r="A69" t="str">
        <x:v>2011-02</x:v>
      </x:c>
      <x:c r="B69" t="n">
        <x:v>201102</x:v>
      </x:c>
      <x:c r="C69" t="str">
        <x:v>Norway</x:v>
      </x:c>
      <x:c r="D69" s="20" t="n">
        <x:v>630.9</x:v>
      </x:c>
      <x:c r="E69" s="20" t="n">
        <x:v>0</x:v>
      </x:c>
      <x:c r="F69" s="20" t="n">
        <x:v>630.9</x:v>
      </x:c>
      <x:c r="G69" t="n">
        <x:v>2</x:v>
      </x:c>
    </x:row>
    <x:row r="70" ht="23" customHeight="1">
      <x:c r="A70" t="str">
        <x:v>2011-02</x:v>
      </x:c>
      <x:c r="B70" t="n">
        <x:v>201102</x:v>
      </x:c>
      <x:c r="C70" t="str">
        <x:v>Poland</x:v>
      </x:c>
      <x:c r="D70" s="20" t="n">
        <x:v>604.05</x:v>
      </x:c>
      <x:c r="E70" s="20" t="n">
        <x:v>0</x:v>
      </x:c>
      <x:c r="F70" s="20" t="n">
        <x:v>604.05</x:v>
      </x:c>
      <x:c r="G70" t="n">
        <x:v>2</x:v>
      </x:c>
    </x:row>
    <x:row r="71" ht="23" customHeight="1">
      <x:c r="A71" t="str">
        <x:v>2011-02</x:v>
      </x:c>
      <x:c r="B71" t="n">
        <x:v>201102</x:v>
      </x:c>
      <x:c r="C71" t="str">
        <x:v>Portugal</x:v>
      </x:c>
      <x:c r="D71" s="20" t="n">
        <x:v>1213.9</x:v>
      </x:c>
      <x:c r="E71" s="20" t="n">
        <x:v>0</x:v>
      </x:c>
      <x:c r="F71" s="20" t="n">
        <x:v>1213.9</x:v>
      </x:c>
      <x:c r="G71" t="n">
        <x:v>2</x:v>
      </x:c>
    </x:row>
    <x:row r="72" ht="23" customHeight="1">
      <x:c r="A72" t="str">
        <x:v>2011-02</x:v>
      </x:c>
      <x:c r="B72" t="n">
        <x:v>201102</x:v>
      </x:c>
      <x:c r="C72" t="str">
        <x:v>Saudi Arabia</x:v>
      </x:c>
      <x:c r="D72" s="20" t="n">
        <x:v>145.92</x:v>
      </x:c>
      <x:c r="E72" s="20" t="n">
        <x:v>0</x:v>
      </x:c>
      <x:c r="F72" s="20" t="n">
        <x:v>145.92</x:v>
      </x:c>
      <x:c r="G72" t="n">
        <x:v>1</x:v>
      </x:c>
    </x:row>
    <x:row r="73" ht="23" customHeight="1">
      <x:c r="A73" t="str">
        <x:v>2011-02</x:v>
      </x:c>
      <x:c r="B73" t="n">
        <x:v>201102</x:v>
      </x:c>
      <x:c r="C73" t="str">
        <x:v>Spain</x:v>
      </x:c>
      <x:c r="D73" s="20" t="n">
        <x:v>2114.5</x:v>
      </x:c>
      <x:c r="E73" s="20" t="n">
        <x:v>20.8</x:v>
      </x:c>
      <x:c r="F73" s="20" t="n">
        <x:v>2093.7</x:v>
      </x:c>
      <x:c r="G73" t="n">
        <x:v>4</x:v>
      </x:c>
    </x:row>
    <x:row r="74" ht="23" customHeight="1">
      <x:c r="A74" t="str">
        <x:v>2011-02</x:v>
      </x:c>
      <x:c r="B74" t="n">
        <x:v>201102</x:v>
      </x:c>
      <x:c r="C74" t="str">
        <x:v>Sweden</x:v>
      </x:c>
      <x:c r="D74" s="20" t="n">
        <x:v>509.5</x:v>
      </x:c>
      <x:c r="E74" s="20" t="n">
        <x:v>0</x:v>
      </x:c>
      <x:c r="F74" s="20" t="n">
        <x:v>509.5</x:v>
      </x:c>
      <x:c r="G74" t="n">
        <x:v>1</x:v>
      </x:c>
    </x:row>
    <x:row r="75" ht="23" customHeight="1">
      <x:c r="A75" t="str">
        <x:v>2011-02</x:v>
      </x:c>
      <x:c r="B75" t="n">
        <x:v>201102</x:v>
      </x:c>
      <x:c r="C75" t="str">
        <x:v>Switzerland</x:v>
      </x:c>
      <x:c r="D75" s="20" t="n">
        <x:v>2654.92</x:v>
      </x:c>
      <x:c r="E75" s="20" t="n">
        <x:v>12.25</x:v>
      </x:c>
      <x:c r="F75" s="20" t="n">
        <x:v>2642.67</x:v>
      </x:c>
      <x:c r="G75" t="n">
        <x:v>5</x:v>
      </x:c>
    </x:row>
    <x:row r="76" ht="23" customHeight="1">
      <x:c r="A76" t="str">
        <x:v>2011-02</x:v>
      </x:c>
      <x:c r="B76" t="n">
        <x:v>201102</x:v>
      </x:c>
      <x:c r="C76" t="str">
        <x:v>United Arab Emirates</x:v>
      </x:c>
      <x:c r="D76" s="20" t="n">
        <x:v>889.24</x:v>
      </x:c>
      <x:c r="E76" s="20" t="n">
        <x:v>0</x:v>
      </x:c>
      <x:c r="F76" s="20" t="n">
        <x:v>889.24</x:v>
      </x:c>
      <x:c r="G76" t="n">
        <x:v>1</x:v>
      </x:c>
    </x:row>
    <x:row r="77" ht="23" customHeight="1">
      <x:c r="A77" t="str">
        <x:v>2011-02</x:v>
      </x:c>
      <x:c r="B77" t="n">
        <x:v>201102</x:v>
      </x:c>
      <x:c r="C77" t="str">
        <x:v>United Kingdom</x:v>
      </x:c>
      <x:c r="D77" s="20" t="n">
        <x:v>428986.62</x:v>
      </x:c>
      <x:c r="E77" s="20" t="n">
        <x:v>21729.95</x:v>
      </x:c>
      <x:c r="F77" s="20" t="n">
        <x:v>407256.67</x:v>
      </x:c>
      <x:c r="G77" t="n">
        <x:v>995</x:v>
      </x:c>
    </x:row>
    <x:row r="78" ht="23" customHeight="1">
      <x:c r="A78" t="str">
        <x:v>2011-03</x:v>
      </x:c>
      <x:c r="B78" t="n">
        <x:v>201103</x:v>
      </x:c>
      <x:c r="C78" t="str">
        <x:v>Australia</x:v>
      </x:c>
      <x:c r="D78" s="20" t="n">
        <x:v>17223.99</x:v>
      </x:c>
      <x:c r="E78" s="20" t="n">
        <x:v>168.7</x:v>
      </x:c>
      <x:c r="F78" s="20" t="n">
        <x:v>17055.29</x:v>
      </x:c>
      <x:c r="G78" t="n">
        <x:v>3</x:v>
      </x:c>
    </x:row>
    <x:row r="79" ht="23" customHeight="1">
      <x:c r="A79" t="str">
        <x:v>2011-03</x:v>
      </x:c>
      <x:c r="B79" t="n">
        <x:v>201103</x:v>
      </x:c>
      <x:c r="C79" t="str">
        <x:v>Austria</x:v>
      </x:c>
      <x:c r="D79" s="20" t="n">
        <x:v>1708.12</x:v>
      </x:c>
      <x:c r="E79" s="20" t="n">
        <x:v>0</x:v>
      </x:c>
      <x:c r="F79" s="20" t="n">
        <x:v>1708.12</x:v>
      </x:c>
      <x:c r="G79" t="n">
        <x:v>2</x:v>
      </x:c>
    </x:row>
    <x:row r="80" ht="23" customHeight="1">
      <x:c r="A80" t="str">
        <x:v>2011-03</x:v>
      </x:c>
      <x:c r="B80" t="n">
        <x:v>201103</x:v>
      </x:c>
      <x:c r="C80" t="str">
        <x:v>Belgium</x:v>
      </x:c>
      <x:c r="D80" s="20" t="n">
        <x:v>3351.98</x:v>
      </x:c>
      <x:c r="E80" s="20" t="n">
        <x:v>18.4</x:v>
      </x:c>
      <x:c r="F80" s="20" t="n">
        <x:v>3333.58</x:v>
      </x:c>
      <x:c r="G80" t="n">
        <x:v>9</x:v>
      </x:c>
    </x:row>
    <x:row r="81" ht="23" customHeight="1">
      <x:c r="A81" t="str">
        <x:v>2011-03</x:v>
      </x:c>
      <x:c r="B81" t="n">
        <x:v>201103</x:v>
      </x:c>
      <x:c r="C81" t="str">
        <x:v>Canada</x:v>
      </x:c>
      <x:c r="D81" s="20" t="n">
        <x:v>140.54</x:v>
      </x:c>
      <x:c r="E81" s="20" t="n">
        <x:v>0</x:v>
      </x:c>
      <x:c r="F81" s="20" t="n">
        <x:v>140.54</x:v>
      </x:c>
      <x:c r="G81" t="n">
        <x:v>1</x:v>
      </x:c>
    </x:row>
    <x:row r="82" ht="23" customHeight="1">
      <x:c r="A82" t="str">
        <x:v>2011-03</x:v>
      </x:c>
      <x:c r="B82" t="n">
        <x:v>201103</x:v>
      </x:c>
      <x:c r="C82" t="str">
        <x:v>Channel Islands</x:v>
      </x:c>
      <x:c r="D82" s="20" t="n">
        <x:v>3509.33</x:v>
      </x:c>
      <x:c r="E82" s="20" t="n">
        <x:v>0</x:v>
      </x:c>
      <x:c r="F82" s="20" t="n">
        <x:v>3509.33</x:v>
      </x:c>
      <x:c r="G82" t="n">
        <x:v>3</x:v>
      </x:c>
    </x:row>
    <x:row r="83" ht="23" customHeight="1">
      <x:c r="A83" t="str">
        <x:v>2011-03</x:v>
      </x:c>
      <x:c r="B83" t="n">
        <x:v>201103</x:v>
      </x:c>
      <x:c r="C83" t="str">
        <x:v>Cyprus</x:v>
      </x:c>
      <x:c r="D83" s="20" t="n">
        <x:v>938.39</x:v>
      </x:c>
      <x:c r="E83" s="20" t="n">
        <x:v>0</x:v>
      </x:c>
      <x:c r="F83" s="20" t="n">
        <x:v>938.39</x:v>
      </x:c>
      <x:c r="G83" t="n">
        <x:v>1</x:v>
      </x:c>
    </x:row>
    <x:row r="84" ht="23" customHeight="1">
      <x:c r="A84" t="str">
        <x:v>2011-03</x:v>
      </x:c>
      <x:c r="B84" t="n">
        <x:v>201103</x:v>
      </x:c>
      <x:c r="C84" t="str">
        <x:v>Denmark</x:v>
      </x:c>
      <x:c r="D84" s="20" t="n">
        <x:v>3978.99</x:v>
      </x:c>
      <x:c r="E84" s="20" t="n">
        <x:v>0</x:v>
      </x:c>
      <x:c r="F84" s="20" t="n">
        <x:v>3978.99</x:v>
      </x:c>
      <x:c r="G84" t="n">
        <x:v>1</x:v>
      </x:c>
    </x:row>
    <x:row r="85" ht="23" customHeight="1">
      <x:c r="A85" t="str">
        <x:v>2011-03</x:v>
      </x:c>
      <x:c r="B85" t="n">
        <x:v>201103</x:v>
      </x:c>
      <x:c r="C85" t="str">
        <x:v>EIRE</x:v>
      </x:c>
      <x:c r="D85" s="20" t="n">
        <x:v>22197.51</x:v>
      </x:c>
      <x:c r="E85" s="20" t="n">
        <x:v>3414.28</x:v>
      </x:c>
      <x:c r="F85" s="20" t="n">
        <x:v>18783.23</x:v>
      </x:c>
      <x:c r="G85" t="n">
        <x:v>23</x:v>
      </x:c>
    </x:row>
    <x:row r="86" ht="23" customHeight="1">
      <x:c r="A86" t="str">
        <x:v>2011-03</x:v>
      </x:c>
      <x:c r="B86" t="n">
        <x:v>201103</x:v>
      </x:c>
      <x:c r="C86" t="str">
        <x:v>Finland</x:v>
      </x:c>
      <x:c r="D86" s="20" t="n">
        <x:v>5936.82</x:v>
      </x:c>
      <x:c r="E86" s="20" t="n">
        <x:v>12.2</x:v>
      </x:c>
      <x:c r="F86" s="20" t="n">
        <x:v>5924.62</x:v>
      </x:c>
      <x:c r="G86" t="n">
        <x:v>5</x:v>
      </x:c>
    </x:row>
    <x:row r="87" ht="23" customHeight="1">
      <x:c r="A87" t="str">
        <x:v>2011-03</x:v>
      </x:c>
      <x:c r="B87" t="n">
        <x:v>201103</x:v>
      </x:c>
      <x:c r="C87" t="str">
        <x:v>France</x:v>
      </x:c>
      <x:c r="D87" s="20" t="n">
        <x:v>14584.95</x:v>
      </x:c>
      <x:c r="E87" s="20" t="n">
        <x:v>72.65</x:v>
      </x:c>
      <x:c r="F87" s="20" t="n">
        <x:v>14512.3</x:v>
      </x:c>
      <x:c r="G87" t="n">
        <x:v>25</x:v>
      </x:c>
    </x:row>
    <x:row r="88" ht="23" customHeight="1">
      <x:c r="A88" t="str">
        <x:v>2011-03</x:v>
      </x:c>
      <x:c r="B88" t="n">
        <x:v>201103</x:v>
      </x:c>
      <x:c r="C88" t="str">
        <x:v>Germany</x:v>
      </x:c>
      <x:c r="D88" s="20" t="n">
        <x:v>14392.69</x:v>
      </x:c>
      <x:c r="E88" s="20" t="n">
        <x:v>222.67</x:v>
      </x:c>
      <x:c r="F88" s="20" t="n">
        <x:v>14170.02</x:v>
      </x:c>
      <x:c r="G88" t="n">
        <x:v>32</x:v>
      </x:c>
    </x:row>
    <x:row r="89" ht="23" customHeight="1">
      <x:c r="A89" t="str">
        <x:v>2011-03</x:v>
      </x:c>
      <x:c r="B89" t="n">
        <x:v>201103</x:v>
      </x:c>
      <x:c r="C89" t="str">
        <x:v>Greece</x:v>
      </x:c>
      <x:c r="D89" s="20" t="n">
        <x:v>387.31</x:v>
      </x:c>
      <x:c r="E89" s="20" t="n">
        <x:v>0</x:v>
      </x:c>
      <x:c r="F89" s="20" t="n">
        <x:v>387.31</x:v>
      </x:c>
      <x:c r="G89" t="n">
        <x:v>1</x:v>
      </x:c>
    </x:row>
    <x:row r="90" ht="23" customHeight="1">
      <x:c r="A90" t="str">
        <x:v>2011-03</x:v>
      </x:c>
      <x:c r="B90" t="n">
        <x:v>201103</x:v>
      </x:c>
      <x:c r="C90" t="str">
        <x:v>Hong Kong</x:v>
      </x:c>
      <x:c r="D90" s="20" t="n">
        <x:v>2583.76</x:v>
      </x:c>
      <x:c r="E90" s="20" t="n">
        <x:v>2583.76</x:v>
      </x:c>
      <x:c r="F90" s="20" t="n">
        <x:v>0</x:v>
      </x:c>
      <x:c r="G90" t="n">
        <x:v>1</x:v>
      </x:c>
    </x:row>
    <x:row r="91" ht="23" customHeight="1">
      <x:c r="A91" t="str">
        <x:v>2011-03</x:v>
      </x:c>
      <x:c r="B91" t="n">
        <x:v>201103</x:v>
      </x:c>
      <x:c r="C91" t="str">
        <x:v>Italy</x:v>
      </x:c>
      <x:c r="D91" s="20" t="n">
        <x:v>1806.81</x:v>
      </x:c>
      <x:c r="E91" s="20" t="n">
        <x:v>27.9</x:v>
      </x:c>
      <x:c r="F91" s="20" t="n">
        <x:v>1778.91</x:v>
      </x:c>
      <x:c r="G91" t="n">
        <x:v>4</x:v>
      </x:c>
    </x:row>
    <x:row r="92" ht="23" customHeight="1">
      <x:c r="A92" t="str">
        <x:v>2011-03</x:v>
      </x:c>
      <x:c r="B92" t="n">
        <x:v>201103</x:v>
      </x:c>
      <x:c r="C92" t="str">
        <x:v>Japan</x:v>
      </x:c>
      <x:c r="D92" s="20" t="n">
        <x:v>48.9</x:v>
      </x:c>
      <x:c r="E92" s="20" t="n">
        <x:v>122.56</x:v>
      </x:c>
      <x:c r="F92" s="20" t="n">
        <x:v>-73.66</x:v>
      </x:c>
      <x:c r="G92" t="n">
        <x:v>3</x:v>
      </x:c>
    </x:row>
    <x:row r="93" ht="23" customHeight="1">
      <x:c r="A93" t="str">
        <x:v>2011-03</x:v>
      </x:c>
      <x:c r="B93" t="n">
        <x:v>201103</x:v>
      </x:c>
      <x:c r="C93" t="str">
        <x:v>Netherlands</x:v>
      </x:c>
      <x:c r="D93" s="20" t="n">
        <x:v>22416.49</x:v>
      </x:c>
      <x:c r="E93" s="20" t="n">
        <x:v>0</x:v>
      </x:c>
      <x:c r="F93" s="20" t="n">
        <x:v>22416.49</x:v>
      </x:c>
      <x:c r="G93" t="n">
        <x:v>8</x:v>
      </x:c>
    </x:row>
    <x:row r="94" ht="23" customHeight="1">
      <x:c r="A94" t="str">
        <x:v>2011-03</x:v>
      </x:c>
      <x:c r="B94" t="n">
        <x:v>201103</x:v>
      </x:c>
      <x:c r="C94" t="str">
        <x:v>Norway</x:v>
      </x:c>
      <x:c r="D94" s="20" t="n">
        <x:v>1265.31</x:v>
      </x:c>
      <x:c r="E94" s="20" t="n">
        <x:v>960.63</x:v>
      </x:c>
      <x:c r="F94" s="20" t="n">
        <x:v>304.68</x:v>
      </x:c>
      <x:c r="G94" t="n">
        <x:v>4</x:v>
      </x:c>
    </x:row>
    <x:row r="95" ht="23" customHeight="1">
      <x:c r="A95" t="str">
        <x:v>2011-03</x:v>
      </x:c>
      <x:c r="B95" t="n">
        <x:v>201103</x:v>
      </x:c>
      <x:c r="C95" t="str">
        <x:v>Poland</x:v>
      </x:c>
      <x:c r="D95" s="20" t="n">
        <x:v>317.78</x:v>
      </x:c>
      <x:c r="E95" s="20" t="n">
        <x:v>14.39</x:v>
      </x:c>
      <x:c r="F95" s="20" t="n">
        <x:v>303.39</x:v>
      </x:c>
      <x:c r="G95" t="n">
        <x:v>1</x:v>
      </x:c>
    </x:row>
    <x:row r="96" ht="23" customHeight="1">
      <x:c r="A96" t="str">
        <x:v>2011-03</x:v>
      </x:c>
      <x:c r="B96" t="n">
        <x:v>201103</x:v>
      </x:c>
      <x:c r="C96" t="str">
        <x:v>Portugal</x:v>
      </x:c>
      <x:c r="D96" s="20" t="n">
        <x:v>2660.85</x:v>
      </x:c>
      <x:c r="E96" s="20" t="n">
        <x:v>0</x:v>
      </x:c>
      <x:c r="F96" s="20" t="n">
        <x:v>2660.85</x:v>
      </x:c>
      <x:c r="G96" t="n">
        <x:v>5</x:v>
      </x:c>
    </x:row>
    <x:row r="97" ht="23" customHeight="1">
      <x:c r="A97" t="str">
        <x:v>2011-03</x:v>
      </x:c>
      <x:c r="B97" t="n">
        <x:v>201103</x:v>
      </x:c>
      <x:c r="C97" t="str">
        <x:v>Saudi Arabia</x:v>
      </x:c>
      <x:c r="D97" s="20" t="n">
        <x:v>0</x:v>
      </x:c>
      <x:c r="E97" s="20" t="n">
        <x:v>14.75</x:v>
      </x:c>
      <x:c r="F97" s="20" t="n">
        <x:v>-14.75</x:v>
      </x:c>
      <x:c r="G97" t="n">
        <x:v>0</x:v>
      </x:c>
    </x:row>
    <x:row r="98" ht="23" customHeight="1">
      <x:c r="A98" t="str">
        <x:v>2011-03</x:v>
      </x:c>
      <x:c r="B98" t="n">
        <x:v>201103</x:v>
      </x:c>
      <x:c r="C98" t="str">
        <x:v>Spain</x:v>
      </x:c>
      <x:c r="D98" s="20" t="n">
        <x:v>5363.15</x:v>
      </x:c>
      <x:c r="E98" s="20" t="n">
        <x:v>36.5</x:v>
      </x:c>
      <x:c r="F98" s="20" t="n">
        <x:v>5326.65</x:v>
      </x:c>
      <x:c r="G98" t="n">
        <x:v>8</x:v>
      </x:c>
    </x:row>
    <x:row r="99" ht="23" customHeight="1">
      <x:c r="A99" t="str">
        <x:v>2011-03</x:v>
      </x:c>
      <x:c r="B99" t="n">
        <x:v>201103</x:v>
      </x:c>
      <x:c r="C99" t="str">
        <x:v>Sweden</x:v>
      </x:c>
      <x:c r="D99" s="20" t="n">
        <x:v>4720.58</x:v>
      </x:c>
      <x:c r="E99" s="20" t="n">
        <x:v>180</x:v>
      </x:c>
      <x:c r="F99" s="20" t="n">
        <x:v>4540.58</x:v>
      </x:c>
      <x:c r="G99" t="n">
        <x:v>3</x:v>
      </x:c>
    </x:row>
    <x:row r="100" ht="23" customHeight="1">
      <x:c r="A100" t="str">
        <x:v>2011-03</x:v>
      </x:c>
      <x:c r="B100" t="n">
        <x:v>201103</x:v>
      </x:c>
      <x:c r="C100" t="str">
        <x:v>Switzerland</x:v>
      </x:c>
      <x:c r="D100" s="20" t="n">
        <x:v>1870.23</x:v>
      </x:c>
      <x:c r="E100" s="20" t="n">
        <x:v>0</x:v>
      </x:c>
      <x:c r="F100" s="20" t="n">
        <x:v>1870.23</x:v>
      </x:c>
      <x:c r="G100" t="n">
        <x:v>3</x:v>
      </x:c>
    </x:row>
    <x:row r="101" ht="23" customHeight="1">
      <x:c r="A101" t="str">
        <x:v>2011-03</x:v>
      </x:c>
      <x:c r="B101" t="n">
        <x:v>201103</x:v>
      </x:c>
      <x:c r="C101" t="str">
        <x:v>United Kingdom</x:v>
      </x:c>
      <x:c r="D101" s="20" t="n">
        <x:v>584810.78</x:v>
      </x:c>
      <x:c r="E101" s="20" t="n">
        <x:v>26351.89</x:v>
      </x:c>
      <x:c r="F101" s="20" t="n">
        <x:v>558458.89</x:v>
      </x:c>
      <x:c r="G101" t="n">
        <x:v>1308</x:v>
      </x:c>
    </x:row>
    <x:row r="102" ht="23" customHeight="1">
      <x:c r="A102" t="str">
        <x:v>2011-04</x:v>
      </x:c>
      <x:c r="B102" t="n">
        <x:v>201104</x:v>
      </x:c>
      <x:c r="C102" t="str">
        <x:v>Australia</x:v>
      </x:c>
      <x:c r="D102" s="20" t="n">
        <x:v>771.6</x:v>
      </x:c>
      <x:c r="E102" s="20" t="n">
        <x:v>438.2</x:v>
      </x:c>
      <x:c r="F102" s="20" t="n">
        <x:v>333.4</x:v>
      </x:c>
      <x:c r="G102" t="n">
        <x:v>2</x:v>
      </x:c>
    </x:row>
    <x:row r="103" ht="23" customHeight="1">
      <x:c r="A103" t="str">
        <x:v>2011-04</x:v>
      </x:c>
      <x:c r="B103" t="n">
        <x:v>201104</x:v>
      </x:c>
      <x:c r="C103" t="str">
        <x:v>Austria</x:v>
      </x:c>
      <x:c r="D103" s="20" t="n">
        <x:v>680.78</x:v>
      </x:c>
      <x:c r="E103" s="20" t="n">
        <x:v>0</x:v>
      </x:c>
      <x:c r="F103" s="20" t="n">
        <x:v>680.78</x:v>
      </x:c>
      <x:c r="G103" t="n">
        <x:v>2</x:v>
      </x:c>
    </x:row>
    <x:row r="104" ht="23" customHeight="1">
      <x:c r="A104" t="str">
        <x:v>2011-04</x:v>
      </x:c>
      <x:c r="B104" t="n">
        <x:v>201104</x:v>
      </x:c>
      <x:c r="C104" t="str">
        <x:v>Belgium</x:v>
      </x:c>
      <x:c r="D104" s="20" t="n">
        <x:v>1989.48</x:v>
      </x:c>
      <x:c r="E104" s="20" t="n">
        <x:v>35.33</x:v>
      </x:c>
      <x:c r="F104" s="20" t="n">
        <x:v>1954.15</x:v>
      </x:c>
      <x:c r="G104" t="n">
        <x:v>6</x:v>
      </x:c>
    </x:row>
    <x:row r="105" ht="23" customHeight="1">
      <x:c r="A105" t="str">
        <x:v>2011-04</x:v>
      </x:c>
      <x:c r="B105" t="n">
        <x:v>201104</x:v>
      </x:c>
      <x:c r="C105" t="str">
        <x:v>Brazil</x:v>
      </x:c>
      <x:c r="D105" s="20" t="n">
        <x:v>1143.6</x:v>
      </x:c>
      <x:c r="E105" s="20" t="n">
        <x:v>0</x:v>
      </x:c>
      <x:c r="F105" s="20" t="n">
        <x:v>1143.6</x:v>
      </x:c>
      <x:c r="G105" t="n">
        <x:v>1</x:v>
      </x:c>
    </x:row>
    <x:row r="106" ht="23" customHeight="1">
      <x:c r="A106" t="str">
        <x:v>2011-04</x:v>
      </x:c>
      <x:c r="B106" t="n">
        <x:v>201104</x:v>
      </x:c>
      <x:c r="C106" t="str">
        <x:v>Channel Islands</x:v>
      </x:c>
      <x:c r="D106" s="20" t="n">
        <x:v>293</x:v>
      </x:c>
      <x:c r="E106" s="20" t="n">
        <x:v>0</x:v>
      </x:c>
      <x:c r="F106" s="20" t="n">
        <x:v>293</x:v>
      </x:c>
      <x:c r="G106" t="n">
        <x:v>1</x:v>
      </x:c>
    </x:row>
    <x:row r="107" ht="23" customHeight="1">
      <x:c r="A107" t="str">
        <x:v>2011-04</x:v>
      </x:c>
      <x:c r="B107" t="n">
        <x:v>201104</x:v>
      </x:c>
      <x:c r="C107" t="str">
        <x:v>Cyprus</x:v>
      </x:c>
      <x:c r="D107" s="20" t="n">
        <x:v>0</x:v>
      </x:c>
      <x:c r="E107" s="20" t="n">
        <x:v>35.8</x:v>
      </x:c>
      <x:c r="F107" s="20" t="n">
        <x:v>-35.8</x:v>
      </x:c>
      <x:c r="G107" t="n">
        <x:v>0</x:v>
      </x:c>
    </x:row>
    <x:row r="108" ht="23" customHeight="1">
      <x:c r="A108" t="str">
        <x:v>2011-04</x:v>
      </x:c>
      <x:c r="B108" t="n">
        <x:v>201104</x:v>
      </x:c>
      <x:c r="C108" t="str">
        <x:v>Czech Republic</x:v>
      </x:c>
      <x:c r="D108" s="20" t="n">
        <x:v>0</x:v>
      </x:c>
      <x:c r="E108" s="20" t="n">
        <x:v>57.51</x:v>
      </x:c>
      <x:c r="F108" s="20" t="n">
        <x:v>-57.51</x:v>
      </x:c>
      <x:c r="G108" t="n">
        <x:v>0</x:v>
      </x:c>
    </x:row>
    <x:row r="109" ht="23" customHeight="1">
      <x:c r="A109" t="str">
        <x:v>2011-04</x:v>
      </x:c>
      <x:c r="B109" t="n">
        <x:v>201104</x:v>
      </x:c>
      <x:c r="C109" t="str">
        <x:v>EIRE</x:v>
      </x:c>
      <x:c r="D109" s="20" t="n">
        <x:v>7570.5</x:v>
      </x:c>
      <x:c r="E109" s="20" t="n">
        <x:v>0</x:v>
      </x:c>
      <x:c r="F109" s="20" t="n">
        <x:v>7570.5</x:v>
      </x:c>
      <x:c r="G109" t="n">
        <x:v>11</x:v>
      </x:c>
    </x:row>
    <x:row r="110" ht="23" customHeight="1">
      <x:c r="A110" t="str">
        <x:v>2011-04</x:v>
      </x:c>
      <x:c r="B110" t="n">
        <x:v>201104</x:v>
      </x:c>
      <x:c r="C110" t="str">
        <x:v>European Community</x:v>
      </x:c>
      <x:c r="D110" s="20" t="n">
        <x:v>191.4</x:v>
      </x:c>
      <x:c r="E110" s="20" t="n">
        <x:v>0</x:v>
      </x:c>
      <x:c r="F110" s="20" t="n">
        <x:v>191.4</x:v>
      </x:c>
      <x:c r="G110" t="n">
        <x:v>1</x:v>
      </x:c>
    </x:row>
    <x:row r="111" ht="23" customHeight="1">
      <x:c r="A111" t="str">
        <x:v>2011-04</x:v>
      </x:c>
      <x:c r="B111" t="n">
        <x:v>201104</x:v>
      </x:c>
      <x:c r="C111" t="str">
        <x:v>Finland</x:v>
      </x:c>
      <x:c r="D111" s="20" t="n">
        <x:v>1688.92</x:v>
      </x:c>
      <x:c r="E111" s="20" t="n">
        <x:v>62.11</x:v>
      </x:c>
      <x:c r="F111" s="20" t="n">
        <x:v>1626.81</x:v>
      </x:c>
      <x:c r="G111" t="n">
        <x:v>4</x:v>
      </x:c>
    </x:row>
    <x:row r="112" ht="23" customHeight="1">
      <x:c r="A112" t="str">
        <x:v>2011-04</x:v>
      </x:c>
      <x:c r="B112" t="n">
        <x:v>201104</x:v>
      </x:c>
      <x:c r="C112" t="str">
        <x:v>France</x:v>
      </x:c>
      <x:c r="D112" s="20" t="n">
        <x:v>5529.61</x:v>
      </x:c>
      <x:c r="E112" s="20" t="n">
        <x:v>1334.4</x:v>
      </x:c>
      <x:c r="F112" s="20" t="n">
        <x:v>4195.21</x:v>
      </x:c>
      <x:c r="G112" t="n">
        <x:v>14</x:v>
      </x:c>
    </x:row>
    <x:row r="113" ht="23" customHeight="1">
      <x:c r="A113" t="str">
        <x:v>2011-04</x:v>
      </x:c>
      <x:c r="B113" t="n">
        <x:v>201104</x:v>
      </x:c>
      <x:c r="C113" t="str">
        <x:v>Germany</x:v>
      </x:c>
      <x:c r="D113" s="20" t="n">
        <x:v>12315.54</x:v>
      </x:c>
      <x:c r="E113" s="20" t="n">
        <x:v>352.17</x:v>
      </x:c>
      <x:c r="F113" s="20" t="n">
        <x:v>11963.37</x:v>
      </x:c>
      <x:c r="G113" t="n">
        <x:v>23</x:v>
      </x:c>
    </x:row>
    <x:row r="114" ht="23" customHeight="1">
      <x:c r="A114" t="str">
        <x:v>2011-04</x:v>
      </x:c>
      <x:c r="B114" t="n">
        <x:v>201104</x:v>
      </x:c>
      <x:c r="C114" t="str">
        <x:v>Greece</x:v>
      </x:c>
      <x:c r="D114" s="20" t="n">
        <x:v>609.74</x:v>
      </x:c>
      <x:c r="E114" s="20" t="n">
        <x:v>0</x:v>
      </x:c>
      <x:c r="F114" s="20" t="n">
        <x:v>609.74</x:v>
      </x:c>
      <x:c r="G114" t="n">
        <x:v>1</x:v>
      </x:c>
    </x:row>
    <x:row r="115" ht="23" customHeight="1">
      <x:c r="A115" t="str">
        <x:v>2011-04</x:v>
      </x:c>
      <x:c r="B115" t="n">
        <x:v>201104</x:v>
      </x:c>
      <x:c r="C115" t="str">
        <x:v>Hong Kong</x:v>
      </x:c>
      <x:c r="D115" s="20" t="n">
        <x:v>1539.64</x:v>
      </x:c>
      <x:c r="E115" s="20" t="n">
        <x:v>0</x:v>
      </x:c>
      <x:c r="F115" s="20" t="n">
        <x:v>1539.64</x:v>
      </x:c>
      <x:c r="G115" t="n">
        <x:v>1</x:v>
      </x:c>
    </x:row>
    <x:row r="116" ht="23" customHeight="1">
      <x:c r="A116" t="str">
        <x:v>2011-04</x:v>
      </x:c>
      <x:c r="B116" t="n">
        <x:v>201104</x:v>
      </x:c>
      <x:c r="C116" t="str">
        <x:v>Iceland</x:v>
      </x:c>
      <x:c r="D116" s="20" t="n">
        <x:v>636.25</x:v>
      </x:c>
      <x:c r="E116" s="20" t="n">
        <x:v>0</x:v>
      </x:c>
      <x:c r="F116" s="20" t="n">
        <x:v>636.25</x:v>
      </x:c>
      <x:c r="G116" t="n">
        <x:v>1</x:v>
      </x:c>
    </x:row>
    <x:row r="117" ht="23" customHeight="1">
      <x:c r="A117" t="str">
        <x:v>2011-04</x:v>
      </x:c>
      <x:c r="B117" t="n">
        <x:v>201104</x:v>
      </x:c>
      <x:c r="C117" t="str">
        <x:v>Israel</x:v>
      </x:c>
      <x:c r="D117" s="20" t="n">
        <x:v>110</x:v>
      </x:c>
      <x:c r="E117" s="20" t="n">
        <x:v>0</x:v>
      </x:c>
      <x:c r="F117" s="20" t="n">
        <x:v>110</x:v>
      </x:c>
      <x:c r="G117" t="n">
        <x:v>1</x:v>
      </x:c>
    </x:row>
    <x:row r="118" ht="23" customHeight="1">
      <x:c r="A118" t="str">
        <x:v>2011-04</x:v>
      </x:c>
      <x:c r="B118" t="n">
        <x:v>201104</x:v>
      </x:c>
      <x:c r="C118" t="str">
        <x:v>Italy</x:v>
      </x:c>
      <x:c r="D118" s="20" t="n">
        <x:v>737.83</x:v>
      </x:c>
      <x:c r="E118" s="20" t="n">
        <x:v>0</x:v>
      </x:c>
      <x:c r="F118" s="20" t="n">
        <x:v>737.83</x:v>
      </x:c>
      <x:c r="G118" t="n">
        <x:v>2</x:v>
      </x:c>
    </x:row>
    <x:row r="119" ht="23" customHeight="1">
      <x:c r="A119" t="str">
        <x:v>2011-04</x:v>
      </x:c>
      <x:c r="B119" t="n">
        <x:v>201104</x:v>
      </x:c>
      <x:c r="C119" t="str">
        <x:v>Japan</x:v>
      </x:c>
      <x:c r="D119" s="20" t="n">
        <x:v>6548.5</x:v>
      </x:c>
      <x:c r="E119" s="20" t="n">
        <x:v>1676.67</x:v>
      </x:c>
      <x:c r="F119" s="20" t="n">
        <x:v>4871.83</x:v>
      </x:c>
      <x:c r="G119" t="n">
        <x:v>2</x:v>
      </x:c>
    </x:row>
    <x:row r="120" ht="23" customHeight="1">
      <x:c r="A120" t="str">
        <x:v>2011-04</x:v>
      </x:c>
      <x:c r="B120" t="n">
        <x:v>201104</x:v>
      </x:c>
      <x:c r="C120" t="str">
        <x:v>Netherlands</x:v>
      </x:c>
      <x:c r="D120" s="20" t="n">
        <x:v>2976.56</x:v>
      </x:c>
      <x:c r="E120" s="20" t="n">
        <x:v>0</x:v>
      </x:c>
      <x:c r="F120" s="20" t="n">
        <x:v>2976.56</x:v>
      </x:c>
      <x:c r="G120" t="n">
        <x:v>3</x:v>
      </x:c>
    </x:row>
    <x:row r="121" ht="23" customHeight="1">
      <x:c r="A121" t="str">
        <x:v>2011-04</x:v>
      </x:c>
      <x:c r="B121" t="n">
        <x:v>201104</x:v>
      </x:c>
      <x:c r="C121" t="str">
        <x:v>Poland</x:v>
      </x:c>
      <x:c r="D121" s="20" t="n">
        <x:v>705.84</x:v>
      </x:c>
      <x:c r="E121" s="20" t="n">
        <x:v>0</x:v>
      </x:c>
      <x:c r="F121" s="20" t="n">
        <x:v>705.84</x:v>
      </x:c>
      <x:c r="G121" t="n">
        <x:v>1</x:v>
      </x:c>
    </x:row>
    <x:row r="122" ht="23" customHeight="1">
      <x:c r="A122" t="str">
        <x:v>2011-04</x:v>
      </x:c>
      <x:c r="B122" t="n">
        <x:v>201104</x:v>
      </x:c>
      <x:c r="C122" t="str">
        <x:v>Portugal</x:v>
      </x:c>
      <x:c r="D122" s="20" t="n">
        <x:v>1687.75</x:v>
      </x:c>
      <x:c r="E122" s="20" t="n">
        <x:v>0</x:v>
      </x:c>
      <x:c r="F122" s="20" t="n">
        <x:v>1687.75</x:v>
      </x:c>
      <x:c r="G122" t="n">
        <x:v>2</x:v>
      </x:c>
    </x:row>
    <x:row r="123" ht="23" customHeight="1">
      <x:c r="A123" t="str">
        <x:v>2011-04</x:v>
      </x:c>
      <x:c r="B123" t="n">
        <x:v>201104</x:v>
      </x:c>
      <x:c r="C123" t="str">
        <x:v>Singapore</x:v>
      </x:c>
      <x:c r="D123" s="20" t="n">
        <x:v>8209.58</x:v>
      </x:c>
      <x:c r="E123" s="20" t="n">
        <x:v>6090.84</x:v>
      </x:c>
      <x:c r="F123" s="20" t="n">
        <x:v>2118.74</x:v>
      </x:c>
      <x:c r="G123" t="n">
        <x:v>3</x:v>
      </x:c>
    </x:row>
    <x:row r="124" ht="23" customHeight="1">
      <x:c r="A124" t="str">
        <x:v>2011-04</x:v>
      </x:c>
      <x:c r="B124" t="n">
        <x:v>201104</x:v>
      </x:c>
      <x:c r="C124" t="str">
        <x:v>Spain</x:v>
      </x:c>
      <x:c r="D124" s="20" t="n">
        <x:v>1785.65</x:v>
      </x:c>
      <x:c r="E124" s="20" t="n">
        <x:v>0</x:v>
      </x:c>
      <x:c r="F124" s="20" t="n">
        <x:v>1785.65</x:v>
      </x:c>
      <x:c r="G124" t="n">
        <x:v>3</x:v>
      </x:c>
    </x:row>
    <x:row r="125" ht="23" customHeight="1">
      <x:c r="A125" t="str">
        <x:v>2011-04</x:v>
      </x:c>
      <x:c r="B125" t="n">
        <x:v>201104</x:v>
      </x:c>
      <x:c r="C125" t="str">
        <x:v>Sweden</x:v>
      </x:c>
      <x:c r="D125" s="20" t="n">
        <x:v>809.1</x:v>
      </x:c>
      <x:c r="E125" s="20" t="n">
        <x:v>0</x:v>
      </x:c>
      <x:c r="F125" s="20" t="n">
        <x:v>809.1</x:v>
      </x:c>
      <x:c r="G125" t="n">
        <x:v>2</x:v>
      </x:c>
    </x:row>
    <x:row r="126" ht="23" customHeight="1">
      <x:c r="A126" t="str">
        <x:v>2011-04</x:v>
      </x:c>
      <x:c r="B126" t="n">
        <x:v>201104</x:v>
      </x:c>
      <x:c r="C126" t="str">
        <x:v>Switzerland</x:v>
      </x:c>
      <x:c r="D126" s="20" t="n">
        <x:v>2076.94</x:v>
      </x:c>
      <x:c r="E126" s="20" t="n">
        <x:v>254.75</x:v>
      </x:c>
      <x:c r="F126" s="20" t="n">
        <x:v>1822.19</x:v>
      </x:c>
      <x:c r="G126" t="n">
        <x:v>4</x:v>
      </x:c>
    </x:row>
    <x:row r="127" ht="23" customHeight="1">
      <x:c r="A127" t="str">
        <x:v>2011-04</x:v>
      </x:c>
      <x:c r="B127" t="n">
        <x:v>201104</x:v>
      </x:c>
      <x:c r="C127" t="str">
        <x:v>USA</x:v>
      </x:c>
      <x:c r="D127" s="20" t="n">
        <x:v>383.95</x:v>
      </x:c>
      <x:c r="E127" s="20" t="n">
        <x:v>0</x:v>
      </x:c>
      <x:c r="F127" s="20" t="n">
        <x:v>383.95</x:v>
      </x:c>
      <x:c r="G127" t="n">
        <x:v>1</x:v>
      </x:c>
    </x:row>
    <x:row r="128" ht="23" customHeight="1">
      <x:c r="A128" t="str">
        <x:v>2011-04</x:v>
      </x:c>
      <x:c r="B128" t="n">
        <x:v>201104</x:v>
      </x:c>
      <x:c r="C128" t="str">
        <x:v>United Kingdom</x:v>
      </x:c>
      <x:c r="D128" s="20" t="n">
        <x:v>475677.631</x:v>
      </x:c>
      <x:c r="E128" s="20" t="n">
        <x:v>34262.87</x:v>
      </x:c>
      <x:c r="F128" s="20" t="n">
        <x:v>441414.761</x:v>
      </x:c>
      <x:c r="G128" t="n">
        <x:v>1153</x:v>
      </x:c>
    </x:row>
    <x:row r="129" ht="23" customHeight="1">
      <x:c r="A129" t="str">
        <x:v>2011-04</x:v>
      </x:c>
      <x:c r="B129" t="n">
        <x:v>201104</x:v>
      </x:c>
      <x:c r="C129" t="str">
        <x:v>Unspecified</x:v>
      </x:c>
      <x:c r="D129" s="20" t="n">
        <x:v>299.1</x:v>
      </x:c>
      <x:c r="E129" s="20" t="n">
        <x:v>0</x:v>
      </x:c>
      <x:c r="F129" s="20" t="n">
        <x:v>299.1</x:v>
      </x:c>
      <x:c r="G129" t="n">
        <x:v>1</x:v>
      </x:c>
    </x:row>
    <x:row r="130" ht="23" customHeight="1">
      <x:c r="A130" t="str">
        <x:v>2011-05</x:v>
      </x:c>
      <x:c r="B130" t="n">
        <x:v>201105</x:v>
      </x:c>
      <x:c r="C130" t="str">
        <x:v>Australia</x:v>
      </x:c>
      <x:c r="D130" s="20" t="n">
        <x:v>13638.41</x:v>
      </x:c>
      <x:c r="E130" s="20" t="n">
        <x:v>9.9</x:v>
      </x:c>
      <x:c r="F130" s="20" t="n">
        <x:v>13628.51</x:v>
      </x:c>
      <x:c r="G130" t="n">
        <x:v>4</x:v>
      </x:c>
    </x:row>
    <x:row r="131" ht="23" customHeight="1">
      <x:c r="A131" t="str">
        <x:v>2011-05</x:v>
      </x:c>
      <x:c r="B131" t="n">
        <x:v>201105</x:v>
      </x:c>
      <x:c r="C131" t="str">
        <x:v>Austria</x:v>
      </x:c>
      <x:c r="D131" s="20" t="n">
        <x:v>1249.43</x:v>
      </x:c>
      <x:c r="E131" s="20" t="n">
        <x:v>0</x:v>
      </x:c>
      <x:c r="F131" s="20" t="n">
        <x:v>1249.43</x:v>
      </x:c>
      <x:c r="G131" t="n">
        <x:v>2</x:v>
      </x:c>
    </x:row>
    <x:row r="132" ht="23" customHeight="1">
      <x:c r="A132" t="str">
        <x:v>2011-05</x:v>
      </x:c>
      <x:c r="B132" t="n">
        <x:v>201105</x:v>
      </x:c>
      <x:c r="C132" t="str">
        <x:v>Bahrain</x:v>
      </x:c>
      <x:c r="D132" s="20" t="n">
        <x:v>548.4</x:v>
      </x:c>
      <x:c r="E132" s="20" t="n">
        <x:v>0</x:v>
      </x:c>
      <x:c r="F132" s="20" t="n">
        <x:v>548.4</x:v>
      </x:c>
      <x:c r="G132" t="n">
        <x:v>2</x:v>
      </x:c>
    </x:row>
    <x:row r="133" ht="23" customHeight="1">
      <x:c r="A133" t="str">
        <x:v>2011-05</x:v>
      </x:c>
      <x:c r="B133" t="n">
        <x:v>201105</x:v>
      </x:c>
      <x:c r="C133" t="str">
        <x:v>Belgium</x:v>
      </x:c>
      <x:c r="D133" s="20" t="n">
        <x:v>2732.4</x:v>
      </x:c>
      <x:c r="E133" s="20" t="n">
        <x:v>5.4</x:v>
      </x:c>
      <x:c r="F133" s="20" t="n">
        <x:v>2727</x:v>
      </x:c>
      <x:c r="G133" t="n">
        <x:v>9</x:v>
      </x:c>
    </x:row>
    <x:row r="134" ht="23" customHeight="1">
      <x:c r="A134" t="str">
        <x:v>2011-05</x:v>
      </x:c>
      <x:c r="B134" t="n">
        <x:v>201105</x:v>
      </x:c>
      <x:c r="C134" t="str">
        <x:v>Canada</x:v>
      </x:c>
      <x:c r="D134" s="20" t="n">
        <x:v>534.24</x:v>
      </x:c>
      <x:c r="E134" s="20" t="n">
        <x:v>0</x:v>
      </x:c>
      <x:c r="F134" s="20" t="n">
        <x:v>534.24</x:v>
      </x:c>
      <x:c r="G134" t="n">
        <x:v>1</x:v>
      </x:c>
    </x:row>
    <x:row r="135" ht="23" customHeight="1">
      <x:c r="A135" t="str">
        <x:v>2011-05</x:v>
      </x:c>
      <x:c r="B135" t="n">
        <x:v>201105</x:v>
      </x:c>
      <x:c r="C135" t="str">
        <x:v>Channel Islands</x:v>
      </x:c>
      <x:c r="D135" s="20" t="n">
        <x:v>1207.24</x:v>
      </x:c>
      <x:c r="E135" s="20" t="n">
        <x:v>303.45</x:v>
      </x:c>
      <x:c r="F135" s="20" t="n">
        <x:v>903.79</x:v>
      </x:c>
      <x:c r="G135" t="n">
        <x:v>2</x:v>
      </x:c>
    </x:row>
    <x:row r="136" ht="23" customHeight="1">
      <x:c r="A136" t="str">
        <x:v>2011-05</x:v>
      </x:c>
      <x:c r="B136" t="n">
        <x:v>201105</x:v>
      </x:c>
      <x:c r="C136" t="str">
        <x:v>Denmark</x:v>
      </x:c>
      <x:c r="D136" s="20" t="n">
        <x:v>515.7</x:v>
      </x:c>
      <x:c r="E136" s="20" t="n">
        <x:v>0</x:v>
      </x:c>
      <x:c r="F136" s="20" t="n">
        <x:v>515.7</x:v>
      </x:c>
      <x:c r="G136" t="n">
        <x:v>1</x:v>
      </x:c>
    </x:row>
    <x:row r="137" ht="23" customHeight="1">
      <x:c r="A137" t="str">
        <x:v>2011-05</x:v>
      </x:c>
      <x:c r="B137" t="n">
        <x:v>201105</x:v>
      </x:c>
      <x:c r="C137" t="str">
        <x:v>EIRE</x:v>
      </x:c>
      <x:c r="D137" s="20" t="n">
        <x:v>18003.72</x:v>
      </x:c>
      <x:c r="E137" s="20" t="n">
        <x:v>87.41</x:v>
      </x:c>
      <x:c r="F137" s="20" t="n">
        <x:v>17916.31</x:v>
      </x:c>
      <x:c r="G137" t="n">
        <x:v>22</x:v>
      </x:c>
    </x:row>
    <x:row r="138" ht="23" customHeight="1">
      <x:c r="A138" t="str">
        <x:v>2011-05</x:v>
      </x:c>
      <x:c r="B138" t="n">
        <x:v>201105</x:v>
      </x:c>
      <x:c r="C138" t="str">
        <x:v>France</x:v>
      </x:c>
      <x:c r="D138" s="20" t="n">
        <x:v>17606.48</x:v>
      </x:c>
      <x:c r="E138" s="20" t="n">
        <x:v>87.8</x:v>
      </x:c>
      <x:c r="F138" s="20" t="n">
        <x:v>17518.68</x:v>
      </x:c>
      <x:c r="G138" t="n">
        <x:v>39</x:v>
      </x:c>
    </x:row>
    <x:row r="139" ht="23" customHeight="1">
      <x:c r="A139" t="str">
        <x:v>2011-05</x:v>
      </x:c>
      <x:c r="B139" t="n">
        <x:v>201105</x:v>
      </x:c>
      <x:c r="C139" t="str">
        <x:v>Germany</x:v>
      </x:c>
      <x:c r="D139" s="20" t="n">
        <x:v>25734.7</x:v>
      </x:c>
      <x:c r="E139" s="20" t="n">
        <x:v>179.85</x:v>
      </x:c>
      <x:c r="F139" s="20" t="n">
        <x:v>25554.85</x:v>
      </x:c>
      <x:c r="G139" t="n">
        <x:v>42</x:v>
      </x:c>
    </x:row>
    <x:row r="140" ht="23" customHeight="1">
      <x:c r="A140" t="str">
        <x:v>2011-05</x:v>
      </x:c>
      <x:c r="B140" t="n">
        <x:v>201105</x:v>
      </x:c>
      <x:c r="C140" t="str">
        <x:v>Hong Kong</x:v>
      </x:c>
      <x:c r="D140" s="20" t="n">
        <x:v>1966.16</x:v>
      </x:c>
      <x:c r="E140" s="20" t="n">
        <x:v>0</x:v>
      </x:c>
      <x:c r="F140" s="20" t="n">
        <x:v>1966.16</x:v>
      </x:c>
      <x:c r="G140" t="n">
        <x:v>1</x:v>
      </x:c>
    </x:row>
    <x:row r="141" ht="23" customHeight="1">
      <x:c r="A141" t="str">
        <x:v>2011-05</x:v>
      </x:c>
      <x:c r="B141" t="n">
        <x:v>201105</x:v>
      </x:c>
      <x:c r="C141" t="str">
        <x:v>Italy</x:v>
      </x:c>
      <x:c r="D141" s="20" t="n">
        <x:v>587.45</x:v>
      </x:c>
      <x:c r="E141" s="20" t="n">
        <x:v>0</x:v>
      </x:c>
      <x:c r="F141" s="20" t="n">
        <x:v>587.45</x:v>
      </x:c>
      <x:c r="G141" t="n">
        <x:v>1</x:v>
      </x:c>
    </x:row>
    <x:row r="142" ht="23" customHeight="1">
      <x:c r="A142" t="str">
        <x:v>2011-05</x:v>
      </x:c>
      <x:c r="B142" t="n">
        <x:v>201105</x:v>
      </x:c>
      <x:c r="C142" t="str">
        <x:v>Japan</x:v>
      </x:c>
      <x:c r="D142" s="20" t="n">
        <x:v>1351.45</x:v>
      </x:c>
      <x:c r="E142" s="20" t="n">
        <x:v>0</x:v>
      </x:c>
      <x:c r="F142" s="20" t="n">
        <x:v>1351.45</x:v>
      </x:c>
      <x:c r="G142" t="n">
        <x:v>1</x:v>
      </x:c>
    </x:row>
    <x:row r="143" ht="23" customHeight="1">
      <x:c r="A143" t="str">
        <x:v>2011-05</x:v>
      </x:c>
      <x:c r="B143" t="n">
        <x:v>201105</x:v>
      </x:c>
      <x:c r="C143" t="str">
        <x:v>Netherlands</x:v>
      </x:c>
      <x:c r="D143" s="20" t="n">
        <x:v>29185.88</x:v>
      </x:c>
      <x:c r="E143" s="20" t="n">
        <x:v>0</x:v>
      </x:c>
      <x:c r="F143" s="20" t="n">
        <x:v>29185.88</x:v>
      </x:c>
      <x:c r="G143" t="n">
        <x:v>11</x:v>
      </x:c>
    </x:row>
    <x:row r="144" ht="23" customHeight="1">
      <x:c r="A144" t="str">
        <x:v>2011-05</x:v>
      </x:c>
      <x:c r="B144" t="n">
        <x:v>201105</x:v>
      </x:c>
      <x:c r="C144" t="str">
        <x:v>Poland</x:v>
      </x:c>
      <x:c r="D144" s="20" t="n">
        <x:v>1522.37</x:v>
      </x:c>
      <x:c r="E144" s="20" t="n">
        <x:v>0</x:v>
      </x:c>
      <x:c r="F144" s="20" t="n">
        <x:v>1522.37</x:v>
      </x:c>
      <x:c r="G144" t="n">
        <x:v>3</x:v>
      </x:c>
    </x:row>
    <x:row r="145" ht="23" customHeight="1">
      <x:c r="A145" t="str">
        <x:v>2011-05</x:v>
      </x:c>
      <x:c r="B145" t="n">
        <x:v>201105</x:v>
      </x:c>
      <x:c r="C145" t="str">
        <x:v>Portugal</x:v>
      </x:c>
      <x:c r="D145" s="20" t="n">
        <x:v>4202.23</x:v>
      </x:c>
      <x:c r="E145" s="20" t="n">
        <x:v>3614.4</x:v>
      </x:c>
      <x:c r="F145" s="20" t="n">
        <x:v>587.83</x:v>
      </x:c>
      <x:c r="G145" t="n">
        <x:v>5</x:v>
      </x:c>
    </x:row>
    <x:row r="146" ht="23" customHeight="1">
      <x:c r="A146" t="str">
        <x:v>2011-05</x:v>
      </x:c>
      <x:c r="B146" t="n">
        <x:v>201105</x:v>
      </x:c>
      <x:c r="C146" t="str">
        <x:v>Spain</x:v>
      </x:c>
      <x:c r="D146" s="20" t="n">
        <x:v>3257.6</x:v>
      </x:c>
      <x:c r="E146" s="20" t="n">
        <x:v>0</x:v>
      </x:c>
      <x:c r="F146" s="20" t="n">
        <x:v>3257.6</x:v>
      </x:c>
      <x:c r="G146" t="n">
        <x:v>4</x:v>
      </x:c>
    </x:row>
    <x:row r="147" ht="23" customHeight="1">
      <x:c r="A147" t="str">
        <x:v>2011-05</x:v>
      </x:c>
      <x:c r="B147" t="n">
        <x:v>201105</x:v>
      </x:c>
      <x:c r="C147" t="str">
        <x:v>Sweden</x:v>
      </x:c>
      <x:c r="D147" s="20" t="n">
        <x:v>2681.98</x:v>
      </x:c>
      <x:c r="E147" s="20" t="n">
        <x:v>17</x:v>
      </x:c>
      <x:c r="F147" s="20" t="n">
        <x:v>2664.98</x:v>
      </x:c>
      <x:c r="G147" t="n">
        <x:v>3</x:v>
      </x:c>
    </x:row>
    <x:row r="148" ht="23" customHeight="1">
      <x:c r="A148" t="str">
        <x:v>2011-05</x:v>
      </x:c>
      <x:c r="B148" t="n">
        <x:v>201105</x:v>
      </x:c>
      <x:c r="C148" t="str">
        <x:v>Switzerland</x:v>
      </x:c>
      <x:c r="D148" s="20" t="n">
        <x:v>3610.01</x:v>
      </x:c>
      <x:c r="E148" s="20" t="n">
        <x:v>42.8</x:v>
      </x:c>
      <x:c r="F148" s="20" t="n">
        <x:v>3567.21</x:v>
      </x:c>
      <x:c r="G148" t="n">
        <x:v>3</x:v>
      </x:c>
    </x:row>
    <x:row r="149" ht="23" customHeight="1">
      <x:c r="A149" t="str">
        <x:v>2011-05</x:v>
      </x:c>
      <x:c r="B149" t="n">
        <x:v>201105</x:v>
      </x:c>
      <x:c r="C149" t="str">
        <x:v>United Kingdom</x:v>
      </x:c>
      <x:c r="D149" s="20" t="n">
        <x:v>638104.89</x:v>
      </x:c>
      <x:c r="E149" s="20" t="n">
        <x:v>42854.5</x:v>
      </x:c>
      <x:c r="F149" s="20" t="n">
        <x:v>595250.39</x:v>
      </x:c>
      <x:c r="G149" t="n">
        <x:v>1523</x:v>
      </x:c>
    </x:row>
    <x:row r="150" ht="23" customHeight="1">
      <x:c r="A150" t="str">
        <x:v>2011-05</x:v>
      </x:c>
      <x:c r="B150" t="n">
        <x:v>201105</x:v>
      </x:c>
      <x:c r="C150" t="str">
        <x:v>Unspecified</x:v>
      </x:c>
      <x:c r="D150" s="20" t="n">
        <x:v>1055.87</x:v>
      </x:c>
      <x:c r="E150" s="20" t="n">
        <x:v>0</x:v>
      </x:c>
      <x:c r="F150" s="20" t="n">
        <x:v>1055.87</x:v>
      </x:c>
      <x:c r="G150" t="n">
        <x:v>2</x:v>
      </x:c>
    </x:row>
    <x:row r="151" ht="23" customHeight="1">
      <x:c r="A151" t="str">
        <x:v>2011-06</x:v>
      </x:c>
      <x:c r="B151" t="n">
        <x:v>201106</x:v>
      </x:c>
      <x:c r="C151" t="str">
        <x:v>Australia</x:v>
      </x:c>
      <x:c r="D151" s="20" t="n">
        <x:v>25187.77</x:v>
      </x:c>
      <x:c r="E151" s="20" t="n">
        <x:v>23</x:v>
      </x:c>
      <x:c r="F151" s="20" t="n">
        <x:v>25164.77</x:v>
      </x:c>
      <x:c r="G151" t="n">
        <x:v>4</x:v>
      </x:c>
    </x:row>
    <x:row r="152" ht="23" customHeight="1">
      <x:c r="A152" t="str">
        <x:v>2011-06</x:v>
      </x:c>
      <x:c r="B152" t="n">
        <x:v>201106</x:v>
      </x:c>
      <x:c r="C152" t="str">
        <x:v>Austria</x:v>
      </x:c>
      <x:c r="D152" s="20" t="n">
        <x:v>0</x:v>
      </x:c>
      <x:c r="E152" s="20" t="n">
        <x:v>24.2</x:v>
      </x:c>
      <x:c r="F152" s="20" t="n">
        <x:v>-24.2</x:v>
      </x:c>
      <x:c r="G152" t="n">
        <x:v>0</x:v>
      </x:c>
    </x:row>
    <x:row r="153" ht="23" customHeight="1">
      <x:c r="A153" t="str">
        <x:v>2011-06</x:v>
      </x:c>
      <x:c r="B153" t="n">
        <x:v>201106</x:v>
      </x:c>
      <x:c r="C153" t="str">
        <x:v>Belgium</x:v>
      </x:c>
      <x:c r="D153" s="20" t="n">
        <x:v>4274.82</x:v>
      </x:c>
      <x:c r="E153" s="20" t="n">
        <x:v>1.65</x:v>
      </x:c>
      <x:c r="F153" s="20" t="n">
        <x:v>4273.17</x:v>
      </x:c>
      <x:c r="G153" t="n">
        <x:v>11</x:v>
      </x:c>
    </x:row>
    <x:row r="154" ht="23" customHeight="1">
      <x:c r="A154" t="str">
        <x:v>2011-06</x:v>
      </x:c>
      <x:c r="B154" t="n">
        <x:v>201106</x:v>
      </x:c>
      <x:c r="C154" t="str">
        <x:v>Canada</x:v>
      </x:c>
      <x:c r="D154" s="20" t="n">
        <x:v>1171.46</x:v>
      </x:c>
      <x:c r="E154" s="20" t="n">
        <x:v>0</x:v>
      </x:c>
      <x:c r="F154" s="20" t="n">
        <x:v>1171.46</x:v>
      </x:c>
      <x:c r="G154" t="n">
        <x:v>1</x:v>
      </x:c>
    </x:row>
    <x:row r="155" ht="23" customHeight="1">
      <x:c r="A155" t="str">
        <x:v>2011-06</x:v>
      </x:c>
      <x:c r="B155" t="n">
        <x:v>201106</x:v>
      </x:c>
      <x:c r="C155" t="str">
        <x:v>Channel Islands</x:v>
      </x:c>
      <x:c r="D155" s="20" t="n">
        <x:v>2060.03</x:v>
      </x:c>
      <x:c r="E155" s="20" t="n">
        <x:v>0</x:v>
      </x:c>
      <x:c r="F155" s="20" t="n">
        <x:v>2060.03</x:v>
      </x:c>
      <x:c r="G155" t="n">
        <x:v>1</x:v>
      </x:c>
    </x:row>
    <x:row r="156" ht="23" customHeight="1">
      <x:c r="A156" t="str">
        <x:v>2011-06</x:v>
      </x:c>
      <x:c r="B156" t="n">
        <x:v>201106</x:v>
      </x:c>
      <x:c r="C156" t="str">
        <x:v>Cyprus</x:v>
      </x:c>
      <x:c r="D156" s="20" t="n">
        <x:v>1109.32</x:v>
      </x:c>
      <x:c r="E156" s="20" t="n">
        <x:v>0</x:v>
      </x:c>
      <x:c r="F156" s="20" t="n">
        <x:v>1109.32</x:v>
      </x:c>
      <x:c r="G156" t="n">
        <x:v>1</x:v>
      </x:c>
    </x:row>
    <x:row r="157" ht="23" customHeight="1">
      <x:c r="A157" t="str">
        <x:v>2011-06</x:v>
      </x:c>
      <x:c r="B157" t="n">
        <x:v>201106</x:v>
      </x:c>
      <x:c r="C157" t="str">
        <x:v>Denmark</x:v>
      </x:c>
      <x:c r="D157" s="20" t="n">
        <x:v>3261.15</x:v>
      </x:c>
      <x:c r="E157" s="20" t="n">
        <x:v>0</x:v>
      </x:c>
      <x:c r="F157" s="20" t="n">
        <x:v>3261.15</x:v>
      </x:c>
      <x:c r="G157" t="n">
        <x:v>3</x:v>
      </x:c>
    </x:row>
    <x:row r="158" ht="23" customHeight="1">
      <x:c r="A158" t="str">
        <x:v>2011-06</x:v>
      </x:c>
      <x:c r="B158" t="n">
        <x:v>201106</x:v>
      </x:c>
      <x:c r="C158" t="str">
        <x:v>EIRE</x:v>
      </x:c>
      <x:c r="D158" s="20" t="n">
        <x:v>24863.61</x:v>
      </x:c>
      <x:c r="E158" s="20" t="n">
        <x:v>4773.36</x:v>
      </x:c>
      <x:c r="F158" s="20" t="n">
        <x:v>20090.25</x:v>
      </x:c>
      <x:c r="G158" t="n">
        <x:v>28</x:v>
      </x:c>
    </x:row>
    <x:row r="159" ht="23" customHeight="1">
      <x:c r="A159" t="str">
        <x:v>2011-06</x:v>
      </x:c>
      <x:c r="B159" t="n">
        <x:v>201106</x:v>
      </x:c>
      <x:c r="C159" t="str">
        <x:v>European Community</x:v>
      </x:c>
      <x:c r="D159" s="20" t="n">
        <x:v>432.05</x:v>
      </x:c>
      <x:c r="E159" s="20" t="n">
        <x:v>8.5</x:v>
      </x:c>
      <x:c r="F159" s="20" t="n">
        <x:v>423.55</x:v>
      </x:c>
      <x:c r="G159" t="n">
        <x:v>2</x:v>
      </x:c>
    </x:row>
    <x:row r="160" ht="23" customHeight="1">
      <x:c r="A160" t="str">
        <x:v>2011-06</x:v>
      </x:c>
      <x:c r="B160" t="n">
        <x:v>201106</x:v>
      </x:c>
      <x:c r="C160" t="str">
        <x:v>Finland</x:v>
      </x:c>
      <x:c r="D160" s="20" t="n">
        <x:v>329.56</x:v>
      </x:c>
      <x:c r="E160" s="20" t="n">
        <x:v>0</x:v>
      </x:c>
      <x:c r="F160" s="20" t="n">
        <x:v>329.56</x:v>
      </x:c>
      <x:c r="G160" t="n">
        <x:v>1</x:v>
      </x:c>
    </x:row>
    <x:row r="161" ht="23" customHeight="1">
      <x:c r="A161" t="str">
        <x:v>2011-06</x:v>
      </x:c>
      <x:c r="B161" t="n">
        <x:v>201106</x:v>
      </x:c>
      <x:c r="C161" t="str">
        <x:v>France</x:v>
      </x:c>
      <x:c r="D161" s="20" t="n">
        <x:v>16348.41</x:v>
      </x:c>
      <x:c r="E161" s="20" t="n">
        <x:v>356.54</x:v>
      </x:c>
      <x:c r="F161" s="20" t="n">
        <x:v>15991.87</x:v>
      </x:c>
      <x:c r="G161" t="n">
        <x:v>31</x:v>
      </x:c>
    </x:row>
    <x:row r="162" ht="23" customHeight="1">
      <x:c r="A162" t="str">
        <x:v>2011-06</x:v>
      </x:c>
      <x:c r="B162" t="n">
        <x:v>201106</x:v>
      </x:c>
      <x:c r="C162" t="str">
        <x:v>Germany</x:v>
      </x:c>
      <x:c r="D162" s="20" t="n">
        <x:v>13246.35</x:v>
      </x:c>
      <x:c r="E162" s="20" t="n">
        <x:v>193.08</x:v>
      </x:c>
      <x:c r="F162" s="20" t="n">
        <x:v>13053.27</x:v>
      </x:c>
      <x:c r="G162" t="n">
        <x:v>24</x:v>
      </x:c>
    </x:row>
    <x:row r="163" ht="23" customHeight="1">
      <x:c r="A163" t="str">
        <x:v>2011-06</x:v>
      </x:c>
      <x:c r="B163" t="n">
        <x:v>201106</x:v>
      </x:c>
      <x:c r="C163" t="str">
        <x:v>Hong Kong</x:v>
      </x:c>
      <x:c r="D163" s="20" t="n">
        <x:v>633.96</x:v>
      </x:c>
      <x:c r="E163" s="20" t="n">
        <x:v>0</x:v>
      </x:c>
      <x:c r="F163" s="20" t="n">
        <x:v>633.96</x:v>
      </x:c>
      <x:c r="G163" t="n">
        <x:v>1</x:v>
      </x:c>
    </x:row>
    <x:row r="164" ht="23" customHeight="1">
      <x:c r="A164" t="str">
        <x:v>2011-06</x:v>
      </x:c>
      <x:c r="B164" t="n">
        <x:v>201106</x:v>
      </x:c>
      <x:c r="C164" t="str">
        <x:v>Iceland</x:v>
      </x:c>
      <x:c r="D164" s="20" t="n">
        <x:v>382.52</x:v>
      </x:c>
      <x:c r="E164" s="20" t="n">
        <x:v>0</x:v>
      </x:c>
      <x:c r="F164" s="20" t="n">
        <x:v>382.52</x:v>
      </x:c>
      <x:c r="G164" t="n">
        <x:v>1</x:v>
      </x:c>
    </x:row>
    <x:row r="165" ht="23" customHeight="1">
      <x:c r="A165" t="str">
        <x:v>2011-06</x:v>
      </x:c>
      <x:c r="B165" t="n">
        <x:v>201106</x:v>
      </x:c>
      <x:c r="C165" t="str">
        <x:v>Italy</x:v>
      </x:c>
      <x:c r="D165" s="20" t="n">
        <x:v>202.07</x:v>
      </x:c>
      <x:c r="E165" s="20" t="n">
        <x:v>39.8</x:v>
      </x:c>
      <x:c r="F165" s="20" t="n">
        <x:v>162.27</x:v>
      </x:c>
      <x:c r="G165" t="n">
        <x:v>2</x:v>
      </x:c>
    </x:row>
    <x:row r="166" ht="23" customHeight="1">
      <x:c r="A166" t="str">
        <x:v>2011-06</x:v>
      </x:c>
      <x:c r="B166" t="n">
        <x:v>201106</x:v>
      </x:c>
      <x:c r="C166" t="str">
        <x:v>Japan</x:v>
      </x:c>
      <x:c r="D166" s="20" t="n">
        <x:v>1607.04</x:v>
      </x:c>
      <x:c r="E166" s="20" t="n">
        <x:v>0</x:v>
      </x:c>
      <x:c r="F166" s="20" t="n">
        <x:v>1607.04</x:v>
      </x:c>
      <x:c r="G166" t="n">
        <x:v>1</x:v>
      </x:c>
    </x:row>
    <x:row r="167" ht="23" customHeight="1">
      <x:c r="A167" t="str">
        <x:v>2011-06</x:v>
      </x:c>
      <x:c r="B167" t="n">
        <x:v>201106</x:v>
      </x:c>
      <x:c r="C167" t="str">
        <x:v>Malta</x:v>
      </x:c>
      <x:c r="D167" s="20" t="n">
        <x:v>863.16</x:v>
      </x:c>
      <x:c r="E167" s="20" t="n">
        <x:v>12.75</x:v>
      </x:c>
      <x:c r="F167" s="20" t="n">
        <x:v>850.41</x:v>
      </x:c>
      <x:c r="G167" t="n">
        <x:v>2</x:v>
      </x:c>
    </x:row>
    <x:row r="168" ht="23" customHeight="1">
      <x:c r="A168" t="str">
        <x:v>2011-06</x:v>
      </x:c>
      <x:c r="B168" t="n">
        <x:v>201106</x:v>
      </x:c>
      <x:c r="C168" t="str">
        <x:v>Netherlands</x:v>
      </x:c>
      <x:c r="D168" s="20" t="n">
        <x:v>26858.09</x:v>
      </x:c>
      <x:c r="E168" s="20" t="n">
        <x:v>15</x:v>
      </x:c>
      <x:c r="F168" s="20" t="n">
        <x:v>26843.09</x:v>
      </x:c>
      <x:c r="G168" t="n">
        <x:v>11</x:v>
      </x:c>
    </x:row>
    <x:row r="169" ht="23" customHeight="1">
      <x:c r="A169" t="str">
        <x:v>2011-06</x:v>
      </x:c>
      <x:c r="B169" t="n">
        <x:v>201106</x:v>
      </x:c>
      <x:c r="C169" t="str">
        <x:v>Norway</x:v>
      </x:c>
      <x:c r="D169" s="20" t="n">
        <x:v>5886.86</x:v>
      </x:c>
      <x:c r="E169" s="20" t="n">
        <x:v>0</x:v>
      </x:c>
      <x:c r="F169" s="20" t="n">
        <x:v>5886.86</x:v>
      </x:c>
      <x:c r="G169" t="n">
        <x:v>4</x:v>
      </x:c>
    </x:row>
    <x:row r="170" ht="23" customHeight="1">
      <x:c r="A170" t="str">
        <x:v>2011-06</x:v>
      </x:c>
      <x:c r="B170" t="n">
        <x:v>201106</x:v>
      </x:c>
      <x:c r="C170" t="str">
        <x:v>Poland</x:v>
      </x:c>
      <x:c r="D170" s="20" t="n">
        <x:v>343.65</x:v>
      </x:c>
      <x:c r="E170" s="20" t="n">
        <x:v>78.91</x:v>
      </x:c>
      <x:c r="F170" s="20" t="n">
        <x:v>264.74</x:v>
      </x:c>
      <x:c r="G170" t="n">
        <x:v>2</x:v>
      </x:c>
    </x:row>
    <x:row r="171" ht="23" customHeight="1">
      <x:c r="A171" t="str">
        <x:v>2011-06</x:v>
      </x:c>
      <x:c r="B171" t="n">
        <x:v>201106</x:v>
      </x:c>
      <x:c r="C171" t="str">
        <x:v>Portugal</x:v>
      </x:c>
      <x:c r="D171" s="20" t="n">
        <x:v>884.46</x:v>
      </x:c>
      <x:c r="E171" s="20" t="n">
        <x:v>4.95</x:v>
      </x:c>
      <x:c r="F171" s="20" t="n">
        <x:v>879.51</x:v>
      </x:c>
      <x:c r="G171" t="n">
        <x:v>3</x:v>
      </x:c>
    </x:row>
    <x:row r="172" ht="23" customHeight="1">
      <x:c r="A172" t="str">
        <x:v>2011-06</x:v>
      </x:c>
      <x:c r="B172" t="n">
        <x:v>201106</x:v>
      </x:c>
      <x:c r="C172" t="str">
        <x:v>Spain</x:v>
      </x:c>
      <x:c r="D172" s="20" t="n">
        <x:v>3333.21</x:v>
      </x:c>
      <x:c r="E172" s="20" t="n">
        <x:v>0.77</x:v>
      </x:c>
      <x:c r="F172" s="20" t="n">
        <x:v>3332.44</x:v>
      </x:c>
      <x:c r="G172" t="n">
        <x:v>8</x:v>
      </x:c>
    </x:row>
    <x:row r="173" ht="23" customHeight="1">
      <x:c r="A173" t="str">
        <x:v>2011-06</x:v>
      </x:c>
      <x:c r="B173" t="n">
        <x:v>201106</x:v>
      </x:c>
      <x:c r="C173" t="str">
        <x:v>Sweden</x:v>
      </x:c>
      <x:c r="D173" s="20" t="n">
        <x:v>832</x:v>
      </x:c>
      <x:c r="E173" s="20" t="n">
        <x:v>0</x:v>
      </x:c>
      <x:c r="F173" s="20" t="n">
        <x:v>832</x:v>
      </x:c>
      <x:c r="G173" t="n">
        <x:v>3</x:v>
      </x:c>
    </x:row>
    <x:row r="174" ht="23" customHeight="1">
      <x:c r="A174" t="str">
        <x:v>2011-06</x:v>
      </x:c>
      <x:c r="B174" t="n">
        <x:v>201106</x:v>
      </x:c>
      <x:c r="C174" t="str">
        <x:v>Switzerland</x:v>
      </x:c>
      <x:c r="D174" s="20" t="n">
        <x:v>7904.15</x:v>
      </x:c>
      <x:c r="E174" s="20" t="n">
        <x:v>21.95</x:v>
      </x:c>
      <x:c r="F174" s="20" t="n">
        <x:v>7882.2</x:v>
      </x:c>
      <x:c r="G174" t="n">
        <x:v>4</x:v>
      </x:c>
    </x:row>
    <x:row r="175" ht="23" customHeight="1">
      <x:c r="A175" t="str">
        <x:v>2011-06</x:v>
      </x:c>
      <x:c r="B175" t="n">
        <x:v>201106</x:v>
      </x:c>
      <x:c r="C175" t="str">
        <x:v>United Kingdom</x:v>
      </x:c>
      <x:c r="D175" s="20" t="n">
        <x:v>618345.53</x:v>
      </x:c>
      <x:c r="E175" s="20" t="n">
        <x:v>65015.32</x:v>
      </x:c>
      <x:c r="F175" s="20" t="n">
        <x:v>553330.21</x:v>
      </x:c>
      <x:c r="G175" t="n">
        <x:v>1383</x:v>
      </x:c>
    </x:row>
    <x:row r="176" ht="23" customHeight="1">
      <x:c r="A176" t="str">
        <x:v>2011-06</x:v>
      </x:c>
      <x:c r="B176" t="n">
        <x:v>201106</x:v>
      </x:c>
      <x:c r="C176" t="str">
        <x:v>Unspecified</x:v>
      </x:c>
      <x:c r="D176" s="20" t="n">
        <x:v>185.78</x:v>
      </x:c>
      <x:c r="E176" s="20" t="n">
        <x:v>0</x:v>
      </x:c>
      <x:c r="F176" s="20" t="n">
        <x:v>185.78</x:v>
      </x:c>
      <x:c r="G176" t="n">
        <x:v>1</x:v>
      </x:c>
    </x:row>
    <x:row r="177" ht="23" customHeight="1">
      <x:c r="A177" t="str">
        <x:v>2011-07</x:v>
      </x:c>
      <x:c r="B177" t="n">
        <x:v>201107</x:v>
      </x:c>
      <x:c r="C177" t="str">
        <x:v>Australia</x:v>
      </x:c>
      <x:c r="D177" s="20" t="n">
        <x:v>4964.38</x:v>
      </x:c>
      <x:c r="E177" s="20" t="n">
        <x:v>196.81</x:v>
      </x:c>
      <x:c r="F177" s="20" t="n">
        <x:v>4767.57</x:v>
      </x:c>
      <x:c r="G177" t="n">
        <x:v>7</x:v>
      </x:c>
    </x:row>
    <x:row r="178" ht="23" customHeight="1">
      <x:c r="A178" t="str">
        <x:v>2011-07</x:v>
      </x:c>
      <x:c r="B178" t="n">
        <x:v>201107</x:v>
      </x:c>
      <x:c r="C178" t="str">
        <x:v>Austria</x:v>
      </x:c>
      <x:c r="D178" s="20" t="n">
        <x:v>1191.95</x:v>
      </x:c>
      <x:c r="E178" s="20" t="n">
        <x:v>0</x:v>
      </x:c>
      <x:c r="F178" s="20" t="n">
        <x:v>1191.95</x:v>
      </x:c>
      <x:c r="G178" t="n">
        <x:v>2</x:v>
      </x:c>
    </x:row>
    <x:row r="179" ht="23" customHeight="1">
      <x:c r="A179" t="str">
        <x:v>2011-07</x:v>
      </x:c>
      <x:c r="B179" t="n">
        <x:v>201107</x:v>
      </x:c>
      <x:c r="C179" t="str">
        <x:v>Belgium</x:v>
      </x:c>
      <x:c r="D179" s="20" t="n">
        <x:v>2475.57</x:v>
      </x:c>
      <x:c r="E179" s="20" t="n">
        <x:v>1.95</x:v>
      </x:c>
      <x:c r="F179" s="20" t="n">
        <x:v>2473.62</x:v>
      </x:c>
      <x:c r="G179" t="n">
        <x:v>5</x:v>
      </x:c>
    </x:row>
    <x:row r="180" ht="23" customHeight="1">
      <x:c r="A180" t="str">
        <x:v>2011-07</x:v>
      </x:c>
      <x:c r="B180" t="n">
        <x:v>201107</x:v>
      </x:c>
      <x:c r="C180" t="str">
        <x:v>Canada</x:v>
      </x:c>
      <x:c r="D180" s="20" t="n">
        <x:v>1768.58</x:v>
      </x:c>
      <x:c r="E180" s="20" t="n">
        <x:v>0</x:v>
      </x:c>
      <x:c r="F180" s="20" t="n">
        <x:v>1768.58</x:v>
      </x:c>
      <x:c r="G180" t="n">
        <x:v>2</x:v>
      </x:c>
    </x:row>
    <x:row r="181" ht="23" customHeight="1">
      <x:c r="A181" t="str">
        <x:v>2011-07</x:v>
      </x:c>
      <x:c r="B181" t="n">
        <x:v>201107</x:v>
      </x:c>
      <x:c r="C181" t="str">
        <x:v>Denmark</x:v>
      </x:c>
      <x:c r="D181" s="20" t="n">
        <x:v>376.24</x:v>
      </x:c>
      <x:c r="E181" s="20" t="n">
        <x:v>0</x:v>
      </x:c>
      <x:c r="F181" s="20" t="n">
        <x:v>376.24</x:v>
      </x:c>
      <x:c r="G181" t="n">
        <x:v>1</x:v>
      </x:c>
    </x:row>
    <x:row r="182" ht="23" customHeight="1">
      <x:c r="A182" t="str">
        <x:v>2011-07</x:v>
      </x:c>
      <x:c r="B182" t="n">
        <x:v>201107</x:v>
      </x:c>
      <x:c r="C182" t="str">
        <x:v>EIRE</x:v>
      </x:c>
      <x:c r="D182" s="20" t="n">
        <x:v>42738.85</x:v>
      </x:c>
      <x:c r="E182" s="20" t="n">
        <x:v>49.2</x:v>
      </x:c>
      <x:c r="F182" s="20" t="n">
        <x:v>42689.65</x:v>
      </x:c>
      <x:c r="G182" t="n">
        <x:v>27</x:v>
      </x:c>
    </x:row>
    <x:row r="183" ht="23" customHeight="1">
      <x:c r="A183" t="str">
        <x:v>2011-07</x:v>
      </x:c>
      <x:c r="B183" t="n">
        <x:v>201107</x:v>
      </x:c>
      <x:c r="C183" t="str">
        <x:v>European Community</x:v>
      </x:c>
      <x:c r="D183" s="20" t="n">
        <x:v>676.8</x:v>
      </x:c>
      <x:c r="E183" s="20" t="n">
        <x:v>0</x:v>
      </x:c>
      <x:c r="F183" s="20" t="n">
        <x:v>676.8</x:v>
      </x:c>
      <x:c r="G183" t="n">
        <x:v>1</x:v>
      </x:c>
    </x:row>
    <x:row r="184" ht="23" customHeight="1">
      <x:c r="A184" t="str">
        <x:v>2011-07</x:v>
      </x:c>
      <x:c r="B184" t="n">
        <x:v>201107</x:v>
      </x:c>
      <x:c r="C184" t="str">
        <x:v>Finland</x:v>
      </x:c>
      <x:c r="D184" s="20" t="n">
        <x:v>2996.73</x:v>
      </x:c>
      <x:c r="E184" s="20" t="n">
        <x:v>0</x:v>
      </x:c>
      <x:c r="F184" s="20" t="n">
        <x:v>2996.73</x:v>
      </x:c>
      <x:c r="G184" t="n">
        <x:v>3</x:v>
      </x:c>
    </x:row>
    <x:row r="185" ht="23" customHeight="1">
      <x:c r="A185" t="str">
        <x:v>2011-07</x:v>
      </x:c>
      <x:c r="B185" t="n">
        <x:v>201107</x:v>
      </x:c>
      <x:c r="C185" t="str">
        <x:v>France</x:v>
      </x:c>
      <x:c r="D185" s="20" t="n">
        <x:v>10000.19</x:v>
      </x:c>
      <x:c r="E185" s="20" t="n">
        <x:v>111.2</x:v>
      </x:c>
      <x:c r="F185" s="20" t="n">
        <x:v>9888.99</x:v>
      </x:c>
      <x:c r="G185" t="n">
        <x:v>22</x:v>
      </x:c>
    </x:row>
    <x:row r="186" ht="23" customHeight="1">
      <x:c r="A186" t="str">
        <x:v>2011-07</x:v>
      </x:c>
      <x:c r="B186" t="n">
        <x:v>201107</x:v>
      </x:c>
      <x:c r="C186" t="str">
        <x:v>Germany</x:v>
      </x:c>
      <x:c r="D186" s="20" t="n">
        <x:v>16440.98</x:v>
      </x:c>
      <x:c r="E186" s="20" t="n">
        <x:v>719.32</x:v>
      </x:c>
      <x:c r="F186" s="20" t="n">
        <x:v>15721.66</x:v>
      </x:c>
      <x:c r="G186" t="n">
        <x:v>33</x:v>
      </x:c>
    </x:row>
    <x:row r="187" ht="23" customHeight="1">
      <x:c r="A187" t="str">
        <x:v>2011-07</x:v>
      </x:c>
      <x:c r="B187" t="n">
        <x:v>201107</x:v>
      </x:c>
      <x:c r="C187" t="str">
        <x:v>Greece</x:v>
      </x:c>
      <x:c r="D187" s="20" t="n">
        <x:v>421.24</x:v>
      </x:c>
      <x:c r="E187" s="20" t="n">
        <x:v>50</x:v>
      </x:c>
      <x:c r="F187" s="20" t="n">
        <x:v>371.24</x:v>
      </x:c>
      <x:c r="G187" t="n">
        <x:v>1</x:v>
      </x:c>
    </x:row>
    <x:row r="188" ht="23" customHeight="1">
      <x:c r="A188" t="str">
        <x:v>2011-07</x:v>
      </x:c>
      <x:c r="B188" t="n">
        <x:v>201107</x:v>
      </x:c>
      <x:c r="C188" t="str">
        <x:v>Israel</x:v>
      </x:c>
      <x:c r="D188" s="20" t="n">
        <x:v>1430.75</x:v>
      </x:c>
      <x:c r="E188" s="20" t="n">
        <x:v>0</x:v>
      </x:c>
      <x:c r="F188" s="20" t="n">
        <x:v>1430.75</x:v>
      </x:c>
      <x:c r="G188" t="n">
        <x:v>1</x:v>
      </x:c>
    </x:row>
    <x:row r="189" ht="23" customHeight="1">
      <x:c r="A189" t="str">
        <x:v>2011-07</x:v>
      </x:c>
      <x:c r="B189" t="n">
        <x:v>201107</x:v>
      </x:c>
      <x:c r="C189" t="str">
        <x:v>Italy</x:v>
      </x:c>
      <x:c r="D189" s="20" t="n">
        <x:v>147.1</x:v>
      </x:c>
      <x:c r="E189" s="20" t="n">
        <x:v>0</x:v>
      </x:c>
      <x:c r="F189" s="20" t="n">
        <x:v>147.1</x:v>
      </x:c>
      <x:c r="G189" t="n">
        <x:v>1</x:v>
      </x:c>
    </x:row>
    <x:row r="190" ht="23" customHeight="1">
      <x:c r="A190" t="str">
        <x:v>2011-07</x:v>
      </x:c>
      <x:c r="B190" t="n">
        <x:v>201107</x:v>
      </x:c>
      <x:c r="C190" t="str">
        <x:v>Japan</x:v>
      </x:c>
      <x:c r="D190" s="20" t="n">
        <x:v>3854.4</x:v>
      </x:c>
      <x:c r="E190" s="20" t="n">
        <x:v>0</x:v>
      </x:c>
      <x:c r="F190" s="20" t="n">
        <x:v>3854.4</x:v>
      </x:c>
      <x:c r="G190" t="n">
        <x:v>2</x:v>
      </x:c>
    </x:row>
    <x:row r="191" ht="23" customHeight="1">
      <x:c r="A191" t="str">
        <x:v>2011-07</x:v>
      </x:c>
      <x:c r="B191" t="n">
        <x:v>201107</x:v>
      </x:c>
      <x:c r="C191" t="str">
        <x:v>Netherlands</x:v>
      </x:c>
      <x:c r="D191" s="20" t="n">
        <x:v>26.02</x:v>
      </x:c>
      <x:c r="E191" s="20" t="n">
        <x:v>0</x:v>
      </x:c>
      <x:c r="F191" s="20" t="n">
        <x:v>26.02</x:v>
      </x:c>
      <x:c r="G191" t="n">
        <x:v>1</x:v>
      </x:c>
    </x:row>
    <x:row r="192" ht="23" customHeight="1">
      <x:c r="A192" t="str">
        <x:v>2011-07</x:v>
      </x:c>
      <x:c r="B192" t="n">
        <x:v>201107</x:v>
      </x:c>
      <x:c r="C192" t="str">
        <x:v>Norway</x:v>
      </x:c>
      <x:c r="D192" s="20" t="n">
        <x:v>890.07</x:v>
      </x:c>
      <x:c r="E192" s="20" t="n">
        <x:v>0</x:v>
      </x:c>
      <x:c r="F192" s="20" t="n">
        <x:v>890.07</x:v>
      </x:c>
      <x:c r="G192" t="n">
        <x:v>1</x:v>
      </x:c>
    </x:row>
    <x:row r="193" ht="23" customHeight="1">
      <x:c r="A193" t="str">
        <x:v>2011-07</x:v>
      </x:c>
      <x:c r="B193" t="n">
        <x:v>201107</x:v>
      </x:c>
      <x:c r="C193" t="str">
        <x:v>Poland</x:v>
      </x:c>
      <x:c r="D193" s="20" t="n">
        <x:v>687.3</x:v>
      </x:c>
      <x:c r="E193" s="20" t="n">
        <x:v>8.85</x:v>
      </x:c>
      <x:c r="F193" s="20" t="n">
        <x:v>678.45</x:v>
      </x:c>
      <x:c r="G193" t="n">
        <x:v>2</x:v>
      </x:c>
    </x:row>
    <x:row r="194" ht="23" customHeight="1">
      <x:c r="A194" t="str">
        <x:v>2011-07</x:v>
      </x:c>
      <x:c r="B194" t="n">
        <x:v>201107</x:v>
      </x:c>
      <x:c r="C194" t="str">
        <x:v>Portugal</x:v>
      </x:c>
      <x:c r="D194" s="20" t="n">
        <x:v>2287.85</x:v>
      </x:c>
      <x:c r="E194" s="20" t="n">
        <x:v>0</x:v>
      </x:c>
      <x:c r="F194" s="20" t="n">
        <x:v>2287.85</x:v>
      </x:c>
      <x:c r="G194" t="n">
        <x:v>3</x:v>
      </x:c>
    </x:row>
    <x:row r="195" ht="23" customHeight="1">
      <x:c r="A195" t="str">
        <x:v>2011-07</x:v>
      </x:c>
      <x:c r="B195" t="n">
        <x:v>201107</x:v>
      </x:c>
      <x:c r="C195" t="str">
        <x:v>Singapore</x:v>
      </x:c>
      <x:c r="D195" s="20" t="n">
        <x:v>3949.32</x:v>
      </x:c>
      <x:c r="E195" s="20" t="n">
        <x:v>0</x:v>
      </x:c>
      <x:c r="F195" s="20" t="n">
        <x:v>3949.32</x:v>
      </x:c>
      <x:c r="G195" t="n">
        <x:v>1</x:v>
      </x:c>
    </x:row>
    <x:row r="196" ht="23" customHeight="1">
      <x:c r="A196" t="str">
        <x:v>2011-07</x:v>
      </x:c>
      <x:c r="B196" t="n">
        <x:v>201107</x:v>
      </x:c>
      <x:c r="C196" t="str">
        <x:v>Spain</x:v>
      </x:c>
      <x:c r="D196" s="20" t="n">
        <x:v>7620.77</x:v>
      </x:c>
      <x:c r="E196" s="20" t="n">
        <x:v>46.75</x:v>
      </x:c>
      <x:c r="F196" s="20" t="n">
        <x:v>7574.02</x:v>
      </x:c>
      <x:c r="G196" t="n">
        <x:v>9</x:v>
      </x:c>
    </x:row>
    <x:row r="197" ht="23" customHeight="1">
      <x:c r="A197" t="str">
        <x:v>2011-07</x:v>
      </x:c>
      <x:c r="B197" t="n">
        <x:v>201107</x:v>
      </x:c>
      <x:c r="C197" t="str">
        <x:v>Sweden</x:v>
      </x:c>
      <x:c r="D197" s="20" t="n">
        <x:v>6802.09</x:v>
      </x:c>
      <x:c r="E197" s="20" t="n">
        <x:v>0</x:v>
      </x:c>
      <x:c r="F197" s="20" t="n">
        <x:v>6802.09</x:v>
      </x:c>
      <x:c r="G197" t="n">
        <x:v>3</x:v>
      </x:c>
    </x:row>
    <x:row r="198" ht="23" customHeight="1">
      <x:c r="A198" t="str">
        <x:v>2011-07</x:v>
      </x:c>
      <x:c r="B198" t="n">
        <x:v>201107</x:v>
      </x:c>
      <x:c r="C198" t="str">
        <x:v>Switzerland</x:v>
      </x:c>
      <x:c r="D198" s="20" t="n">
        <x:v>3990.76</x:v>
      </x:c>
      <x:c r="E198" s="20" t="n">
        <x:v>222</x:v>
      </x:c>
      <x:c r="F198" s="20" t="n">
        <x:v>3768.76</x:v>
      </x:c>
      <x:c r="G198" t="n">
        <x:v>6</x:v>
      </x:c>
    </x:row>
    <x:row r="199" ht="23" customHeight="1">
      <x:c r="A199" t="str">
        <x:v>2011-07</x:v>
      </x:c>
      <x:c r="B199" t="n">
        <x:v>201107</x:v>
      </x:c>
      <x:c r="C199" t="str">
        <x:v>United Kingdom</x:v>
      </x:c>
      <x:c r="D199" s="20" t="n">
        <x:v>600919.071</x:v>
      </x:c>
      <x:c r="E199" s="20" t="n">
        <x:v>36513.05</x:v>
      </x:c>
      <x:c r="F199" s="20" t="n">
        <x:v>564406.021</x:v>
      </x:c>
      <x:c r="G199" t="n">
        <x:v>1337</x:v>
      </x:c>
    </x:row>
    <x:row r="200" ht="23" customHeight="1">
      <x:c r="A200" t="str">
        <x:v>2011-07</x:v>
      </x:c>
      <x:c r="B200" t="n">
        <x:v>201107</x:v>
      </x:c>
      <x:c r="C200" t="str">
        <x:v>Unspecified</x:v>
      </x:c>
      <x:c r="D200" s="20" t="n">
        <x:v>1419.11</x:v>
      </x:c>
      <x:c r="E200" s="20" t="n">
        <x:v>0</x:v>
      </x:c>
      <x:c r="F200" s="20" t="n">
        <x:v>1419.11</x:v>
      </x:c>
      <x:c r="G200" t="n">
        <x:v>4</x:v>
      </x:c>
    </x:row>
    <x:row r="201" ht="23" customHeight="1">
      <x:c r="A201" t="str">
        <x:v>2011-08</x:v>
      </x:c>
      <x:c r="B201" t="n">
        <x:v>201108</x:v>
      </x:c>
      <x:c r="C201" t="str">
        <x:v>Australia</x:v>
      </x:c>
      <x:c r="D201" s="20" t="n">
        <x:v>22489.2</x:v>
      </x:c>
      <x:c r="E201" s="20" t="n">
        <x:v>0</x:v>
      </x:c>
      <x:c r="F201" s="20" t="n">
        <x:v>22489.2</x:v>
      </x:c>
      <x:c r="G201" t="n">
        <x:v>2</x:v>
      </x:c>
    </x:row>
    <x:row r="202" ht="23" customHeight="1">
      <x:c r="A202" t="str">
        <x:v>2011-08</x:v>
      </x:c>
      <x:c r="B202" t="n">
        <x:v>201108</x:v>
      </x:c>
      <x:c r="C202" t="str">
        <x:v>Austria</x:v>
      </x:c>
      <x:c r="D202" s="20" t="n">
        <x:v>1516.08</x:v>
      </x:c>
      <x:c r="E202" s="20" t="n">
        <x:v>0</x:v>
      </x:c>
      <x:c r="F202" s="20" t="n">
        <x:v>1516.08</x:v>
      </x:c>
      <x:c r="G202" t="n">
        <x:v>2</x:v>
      </x:c>
    </x:row>
    <x:row r="203" ht="23" customHeight="1">
      <x:c r="A203" t="str">
        <x:v>2011-08</x:v>
      </x:c>
      <x:c r="B203" t="n">
        <x:v>201108</x:v>
      </x:c>
      <x:c r="C203" t="str">
        <x:v>Belgium</x:v>
      </x:c>
      <x:c r="D203" s="20" t="n">
        <x:v>3554.02</x:v>
      </x:c>
      <x:c r="E203" s="20" t="n">
        <x:v>17.9</x:v>
      </x:c>
      <x:c r="F203" s="20" t="n">
        <x:v>3536.12</x:v>
      </x:c>
      <x:c r="G203" t="n">
        <x:v>9</x:v>
      </x:c>
    </x:row>
    <x:row r="204" ht="23" customHeight="1">
      <x:c r="A204" t="str">
        <x:v>2011-08</x:v>
      </x:c>
      <x:c r="B204" t="n">
        <x:v>201108</x:v>
      </x:c>
      <x:c r="C204" t="str">
        <x:v>Canada</x:v>
      </x:c>
      <x:c r="D204" s="20" t="n">
        <x:v>51.56</x:v>
      </x:c>
      <x:c r="E204" s="20" t="n">
        <x:v>0</x:v>
      </x:c>
      <x:c r="F204" s="20" t="n">
        <x:v>51.56</x:v>
      </x:c>
      <x:c r="G204" t="n">
        <x:v>1</x:v>
      </x:c>
    </x:row>
    <x:row r="205" ht="23" customHeight="1">
      <x:c r="A205" t="str">
        <x:v>2011-08</x:v>
      </x:c>
      <x:c r="B205" t="n">
        <x:v>201108</x:v>
      </x:c>
      <x:c r="C205" t="str">
        <x:v>Channel Islands</x:v>
      </x:c>
      <x:c r="D205" s="20" t="n">
        <x:v>4886.88</x:v>
      </x:c>
      <x:c r="E205" s="20" t="n">
        <x:v>4.25</x:v>
      </x:c>
      <x:c r="F205" s="20" t="n">
        <x:v>4882.63</x:v>
      </x:c>
      <x:c r="G205" t="n">
        <x:v>5</x:v>
      </x:c>
    </x:row>
    <x:row r="206" ht="23" customHeight="1">
      <x:c r="A206" t="str">
        <x:v>2011-08</x:v>
      </x:c>
      <x:c r="B206" t="n">
        <x:v>201108</x:v>
      </x:c>
      <x:c r="C206" t="str">
        <x:v>Denmark</x:v>
      </x:c>
      <x:c r="D206" s="20" t="n">
        <x:v>213.15</x:v>
      </x:c>
      <x:c r="E206" s="20" t="n">
        <x:v>134.55</x:v>
      </x:c>
      <x:c r="F206" s="20" t="n">
        <x:v>78.6</x:v>
      </x:c>
      <x:c r="G206" t="n">
        <x:v>1</x:v>
      </x:c>
    </x:row>
    <x:row r="207" ht="23" customHeight="1">
      <x:c r="A207" t="str">
        <x:v>2011-08</x:v>
      </x:c>
      <x:c r="B207" t="n">
        <x:v>201108</x:v>
      </x:c>
      <x:c r="C207" t="str">
        <x:v>EIRE</x:v>
      </x:c>
      <x:c r="D207" s="20" t="n">
        <x:v>18344.2</x:v>
      </x:c>
      <x:c r="E207" s="20" t="n">
        <x:v>6196.28</x:v>
      </x:c>
      <x:c r="F207" s="20" t="n">
        <x:v>12147.92</x:v>
      </x:c>
      <x:c r="G207" t="n">
        <x:v>19</x:v>
      </x:c>
    </x:row>
    <x:row r="208" ht="23" customHeight="1">
      <x:c r="A208" t="str">
        <x:v>2011-08</x:v>
      </x:c>
      <x:c r="B208" t="n">
        <x:v>201108</x:v>
      </x:c>
      <x:c r="C208" t="str">
        <x:v>Finland</x:v>
      </x:c>
      <x:c r="D208" s="20" t="n">
        <x:v>1376.5</x:v>
      </x:c>
      <x:c r="E208" s="20" t="n">
        <x:v>4.95</x:v>
      </x:c>
      <x:c r="F208" s="20" t="n">
        <x:v>1371.55</x:v>
      </x:c>
      <x:c r="G208" t="n">
        <x:v>3</x:v>
      </x:c>
    </x:row>
    <x:row r="209" ht="23" customHeight="1">
      <x:c r="A209" t="str">
        <x:v>2011-08</x:v>
      </x:c>
      <x:c r="B209" t="n">
        <x:v>201108</x:v>
      </x:c>
      <x:c r="C209" t="str">
        <x:v>France</x:v>
      </x:c>
      <x:c r="D209" s="20" t="n">
        <x:v>13810.96</x:v>
      </x:c>
      <x:c r="E209" s="20" t="n">
        <x:v>21.7</x:v>
      </x:c>
      <x:c r="F209" s="20" t="n">
        <x:v>13789.26</x:v>
      </x:c>
      <x:c r="G209" t="n">
        <x:v>28</x:v>
      </x:c>
    </x:row>
    <x:row r="210" ht="23" customHeight="1">
      <x:c r="A210" t="str">
        <x:v>2011-08</x:v>
      </x:c>
      <x:c r="B210" t="n">
        <x:v>201108</x:v>
      </x:c>
      <x:c r="C210" t="str">
        <x:v>Germany</x:v>
      </x:c>
      <x:c r="D210" s="20" t="n">
        <x:v>19220.77</x:v>
      </x:c>
      <x:c r="E210" s="20" t="n">
        <x:v>197.12</x:v>
      </x:c>
      <x:c r="F210" s="20" t="n">
        <x:v>19023.65</x:v>
      </x:c>
      <x:c r="G210" t="n">
        <x:v>39</x:v>
      </x:c>
    </x:row>
    <x:row r="211" ht="23" customHeight="1">
      <x:c r="A211" t="str">
        <x:v>2011-08</x:v>
      </x:c>
      <x:c r="B211" t="n">
        <x:v>201108</x:v>
      </x:c>
      <x:c r="C211" t="str">
        <x:v>Hong Kong</x:v>
      </x:c>
      <x:c r="D211" s="20" t="n">
        <x:v>2813.95</x:v>
      </x:c>
      <x:c r="E211" s="20" t="n">
        <x:v>0</x:v>
      </x:c>
      <x:c r="F211" s="20" t="n">
        <x:v>2813.95</x:v>
      </x:c>
      <x:c r="G211" t="n">
        <x:v>2</x:v>
      </x:c>
    </x:row>
    <x:row r="212" ht="23" customHeight="1">
      <x:c r="A212" t="str">
        <x:v>2011-08</x:v>
      </x:c>
      <x:c r="B212" t="n">
        <x:v>201108</x:v>
      </x:c>
      <x:c r="C212" t="str">
        <x:v>Iceland</x:v>
      </x:c>
      <x:c r="D212" s="20" t="n">
        <x:v>584.91</x:v>
      </x:c>
      <x:c r="E212" s="20" t="n">
        <x:v>0</x:v>
      </x:c>
      <x:c r="F212" s="20" t="n">
        <x:v>584.91</x:v>
      </x:c>
      <x:c r="G212" t="n">
        <x:v>1</x:v>
      </x:c>
    </x:row>
    <x:row r="213" ht="23" customHeight="1">
      <x:c r="A213" t="str">
        <x:v>2011-08</x:v>
      </x:c>
      <x:c r="B213" t="n">
        <x:v>201108</x:v>
      </x:c>
      <x:c r="C213" t="str">
        <x:v>Israel</x:v>
      </x:c>
      <x:c r="D213" s="20" t="n">
        <x:v>4873.81</x:v>
      </x:c>
      <x:c r="E213" s="20" t="n">
        <x:v>0</x:v>
      </x:c>
      <x:c r="F213" s="20" t="n">
        <x:v>4873.81</x:v>
      </x:c>
      <x:c r="G213" t="n">
        <x:v>1</x:v>
      </x:c>
    </x:row>
    <x:row r="214" ht="23" customHeight="1">
      <x:c r="A214" t="str">
        <x:v>2011-08</x:v>
      </x:c>
      <x:c r="B214" t="n">
        <x:v>201108</x:v>
      </x:c>
      <x:c r="C214" t="str">
        <x:v>Italy</x:v>
      </x:c>
      <x:c r="D214" s="20" t="n">
        <x:v>1990.95</x:v>
      </x:c>
      <x:c r="E214" s="20" t="n">
        <x:v>56.15</x:v>
      </x:c>
      <x:c r="F214" s="20" t="n">
        <x:v>1934.8</x:v>
      </x:c>
      <x:c r="G214" t="n">
        <x:v>4</x:v>
      </x:c>
    </x:row>
    <x:row r="215" ht="23" customHeight="1">
      <x:c r="A215" t="str">
        <x:v>2011-08</x:v>
      </x:c>
      <x:c r="B215" t="n">
        <x:v>201108</x:v>
      </x:c>
      <x:c r="C215" t="str">
        <x:v>Japan</x:v>
      </x:c>
      <x:c r="D215" s="20" t="n">
        <x:v>0</x:v>
      </x:c>
      <x:c r="E215" s="20" t="n">
        <x:v>49.79</x:v>
      </x:c>
      <x:c r="F215" s="20" t="n">
        <x:v>-49.79</x:v>
      </x:c>
      <x:c r="G215" t="n">
        <x:v>0</x:v>
      </x:c>
    </x:row>
    <x:row r="216" ht="23" customHeight="1">
      <x:c r="A216" t="str">
        <x:v>2011-08</x:v>
      </x:c>
      <x:c r="B216" t="n">
        <x:v>201108</x:v>
      </x:c>
      <x:c r="C216" t="str">
        <x:v>Malta</x:v>
      </x:c>
      <x:c r="D216" s="20" t="n">
        <x:v>1119</x:v>
      </x:c>
      <x:c r="E216" s="20" t="n">
        <x:v>15.75</x:v>
      </x:c>
      <x:c r="F216" s="20" t="n">
        <x:v>1103.25</x:v>
      </x:c>
      <x:c r="G216" t="n">
        <x:v>2</x:v>
      </x:c>
    </x:row>
    <x:row r="217" ht="23" customHeight="1">
      <x:c r="A217" t="str">
        <x:v>2011-08</x:v>
      </x:c>
      <x:c r="B217" t="n">
        <x:v>201108</x:v>
      </x:c>
      <x:c r="C217" t="str">
        <x:v>Netherlands</x:v>
      </x:c>
      <x:c r="D217" s="20" t="n">
        <x:v>40327.81</x:v>
      </x:c>
      <x:c r="E217" s="20" t="n">
        <x:v>672</x:v>
      </x:c>
      <x:c r="F217" s="20" t="n">
        <x:v>39655.81</x:v>
      </x:c>
      <x:c r="G217" t="n">
        <x:v>7</x:v>
      </x:c>
    </x:row>
    <x:row r="218" ht="23" customHeight="1">
      <x:c r="A218" t="str">
        <x:v>2011-08</x:v>
      </x:c>
      <x:c r="B218" t="n">
        <x:v>201108</x:v>
      </x:c>
      <x:c r="C218" t="str">
        <x:v>Norway</x:v>
      </x:c>
      <x:c r="D218" s="20" t="n">
        <x:v>2025.81</x:v>
      </x:c>
      <x:c r="E218" s="20" t="n">
        <x:v>41.35</x:v>
      </x:c>
      <x:c r="F218" s="20" t="n">
        <x:v>1984.46</x:v>
      </x:c>
      <x:c r="G218" t="n">
        <x:v>2</x:v>
      </x:c>
    </x:row>
    <x:row r="219" ht="23" customHeight="1">
      <x:c r="A219" t="str">
        <x:v>2011-08</x:v>
      </x:c>
      <x:c r="B219" t="n">
        <x:v>201108</x:v>
      </x:c>
      <x:c r="C219" t="str">
        <x:v>Poland</x:v>
      </x:c>
      <x:c r="D219" s="20" t="n">
        <x:v>401.8</x:v>
      </x:c>
      <x:c r="E219" s="20" t="n">
        <x:v>0</x:v>
      </x:c>
      <x:c r="F219" s="20" t="n">
        <x:v>401.8</x:v>
      </x:c>
      <x:c r="G219" t="n">
        <x:v>2</x:v>
      </x:c>
    </x:row>
    <x:row r="220" ht="23" customHeight="1">
      <x:c r="A220" t="str">
        <x:v>2011-08</x:v>
      </x:c>
      <x:c r="B220" t="n">
        <x:v>201108</x:v>
      </x:c>
      <x:c r="C220" t="str">
        <x:v>Portugal</x:v>
      </x:c>
      <x:c r="D220" s="20" t="n">
        <x:v>1221.4</x:v>
      </x:c>
      <x:c r="E220" s="20" t="n">
        <x:v>15</x:v>
      </x:c>
      <x:c r="F220" s="20" t="n">
        <x:v>1206.4</x:v>
      </x:c>
      <x:c r="G220" t="n">
        <x:v>1</x:v>
      </x:c>
    </x:row>
    <x:row r="221" ht="23" customHeight="1">
      <x:c r="A221" t="str">
        <x:v>2011-08</x:v>
      </x:c>
      <x:c r="B221" t="n">
        <x:v>201108</x:v>
      </x:c>
      <x:c r="C221" t="str">
        <x:v>Spain</x:v>
      </x:c>
      <x:c r="D221" s="20" t="n">
        <x:v>3342.41</x:v>
      </x:c>
      <x:c r="E221" s="20" t="n">
        <x:v>16.5</x:v>
      </x:c>
      <x:c r="F221" s="20" t="n">
        <x:v>3325.91</x:v>
      </x:c>
      <x:c r="G221" t="n">
        <x:v>10</x:v>
      </x:c>
    </x:row>
    <x:row r="222" ht="23" customHeight="1">
      <x:c r="A222" t="str">
        <x:v>2011-08</x:v>
      </x:c>
      <x:c r="B222" t="n">
        <x:v>201108</x:v>
      </x:c>
      <x:c r="C222" t="str">
        <x:v>Sweden</x:v>
      </x:c>
      <x:c r="D222" s="20" t="n">
        <x:v>1390.36</x:v>
      </x:c>
      <x:c r="E222" s="20" t="n">
        <x:v>9.9</x:v>
      </x:c>
      <x:c r="F222" s="20" t="n">
        <x:v>1380.46</x:v>
      </x:c>
      <x:c r="G222" t="n">
        <x:v>5</x:v>
      </x:c>
    </x:row>
    <x:row r="223" ht="23" customHeight="1">
      <x:c r="A223" t="str">
        <x:v>2011-08</x:v>
      </x:c>
      <x:c r="B223" t="n">
        <x:v>201108</x:v>
      </x:c>
      <x:c r="C223" t="str">
        <x:v>Switzerland</x:v>
      </x:c>
      <x:c r="D223" s="20" t="n">
        <x:v>4969.89</x:v>
      </x:c>
      <x:c r="E223" s="20" t="n">
        <x:v>87.7</x:v>
      </x:c>
      <x:c r="F223" s="20" t="n">
        <x:v>4882.19</x:v>
      </x:c>
      <x:c r="G223" t="n">
        <x:v>3</x:v>
      </x:c>
    </x:row>
    <x:row r="224" ht="23" customHeight="1">
      <x:c r="A224" t="str">
        <x:v>2011-08</x:v>
      </x:c>
      <x:c r="B224" t="n">
        <x:v>201108</x:v>
      </x:c>
      <x:c r="C224" t="str">
        <x:v>United Kingdom</x:v>
      </x:c>
      <x:c r="D224" s="20" t="n">
        <x:v>606784.93</x:v>
      </x:c>
      <x:c r="E224" s="20" t="n">
        <x:v>46789.91</x:v>
      </x:c>
      <x:c r="F224" s="20" t="n">
        <x:v>559995.02</x:v>
      </x:c>
      <x:c r="G224" t="n">
        <x:v>1210</x:v>
      </x:c>
    </x:row>
    <x:row r="225" ht="23" customHeight="1">
      <x:c r="A225" t="str">
        <x:v>2011-08</x:v>
      </x:c>
      <x:c r="B225" t="n">
        <x:v>201108</x:v>
      </x:c>
      <x:c r="C225" t="str">
        <x:v>Unspecified</x:v>
      </x:c>
      <x:c r="D225" s="20" t="n">
        <x:v>531.03</x:v>
      </x:c>
      <x:c r="E225" s="20" t="n">
        <x:v>0</x:v>
      </x:c>
      <x:c r="F225" s="20" t="n">
        <x:v>531.03</x:v>
      </x:c>
      <x:c r="G225" t="n">
        <x:v>2</x:v>
      </x:c>
    </x:row>
    <x:row r="226" ht="23" customHeight="1">
      <x:c r="A226" t="str">
        <x:v>2011-09</x:v>
      </x:c>
      <x:c r="B226" t="n">
        <x:v>201109</x:v>
      </x:c>
      <x:c r="C226" t="str">
        <x:v>Australia</x:v>
      </x:c>
      <x:c r="D226" s="20" t="n">
        <x:v>5106.73</x:v>
      </x:c>
      <x:c r="E226" s="20" t="n">
        <x:v>75</x:v>
      </x:c>
      <x:c r="F226" s="20" t="n">
        <x:v>5031.73</x:v>
      </x:c>
      <x:c r="G226" t="n">
        <x:v>8</x:v>
      </x:c>
    </x:row>
    <x:row r="227" ht="23" customHeight="1">
      <x:c r="A227" t="str">
        <x:v>2011-09</x:v>
      </x:c>
      <x:c r="B227" t="n">
        <x:v>201109</x:v>
      </x:c>
      <x:c r="C227" t="str">
        <x:v>Belgium</x:v>
      </x:c>
      <x:c r="D227" s="20" t="n">
        <x:v>4208.02</x:v>
      </x:c>
      <x:c r="E227" s="20" t="n">
        <x:v>10.2</x:v>
      </x:c>
      <x:c r="F227" s="20" t="n">
        <x:v>4197.82</x:v>
      </x:c>
      <x:c r="G227" t="n">
        <x:v>7</x:v>
      </x:c>
    </x:row>
    <x:row r="228" ht="23" customHeight="1">
      <x:c r="A228" t="str">
        <x:v>2011-09</x:v>
      </x:c>
      <x:c r="B228" t="n">
        <x:v>201109</x:v>
      </x:c>
      <x:c r="C228" t="str">
        <x:v>Channel Islands</x:v>
      </x:c>
      <x:c r="D228" s="20" t="n">
        <x:v>1323.75</x:v>
      </x:c>
      <x:c r="E228" s="20" t="n">
        <x:v>2.1</x:v>
      </x:c>
      <x:c r="F228" s="20" t="n">
        <x:v>1321.65</x:v>
      </x:c>
      <x:c r="G228" t="n">
        <x:v>2</x:v>
      </x:c>
    </x:row>
    <x:row r="229" ht="23" customHeight="1">
      <x:c r="A229" t="str">
        <x:v>2011-09</x:v>
      </x:c>
      <x:c r="B229" t="n">
        <x:v>201109</x:v>
      </x:c>
      <x:c r="C229" t="str">
        <x:v>Cyprus</x:v>
      </x:c>
      <x:c r="D229" s="20" t="n">
        <x:v>196.35</x:v>
      </x:c>
      <x:c r="E229" s="20" t="n">
        <x:v>0</x:v>
      </x:c>
      <x:c r="F229" s="20" t="n">
        <x:v>196.35</x:v>
      </x:c>
      <x:c r="G229" t="n">
        <x:v>1</x:v>
      </x:c>
    </x:row>
    <x:row r="230" ht="23" customHeight="1">
      <x:c r="A230" t="str">
        <x:v>2011-09</x:v>
      </x:c>
      <x:c r="B230" t="n">
        <x:v>201109</x:v>
      </x:c>
      <x:c r="C230" t="str">
        <x:v>Denmark</x:v>
      </x:c>
      <x:c r="D230" s="20" t="n">
        <x:v>4570.16</x:v>
      </x:c>
      <x:c r="E230" s="20" t="n">
        <x:v>0</x:v>
      </x:c>
      <x:c r="F230" s="20" t="n">
        <x:v>4570.16</x:v>
      </x:c>
      <x:c r="G230" t="n">
        <x:v>3</x:v>
      </x:c>
    </x:row>
    <x:row r="231" ht="23" customHeight="1">
      <x:c r="A231" t="str">
        <x:v>2011-09</x:v>
      </x:c>
      <x:c r="B231" t="n">
        <x:v>201109</x:v>
      </x:c>
      <x:c r="C231" t="str">
        <x:v>EIRE</x:v>
      </x:c>
      <x:c r="D231" s="20" t="n">
        <x:v>42923.7</x:v>
      </x:c>
      <x:c r="E231" s="20" t="n">
        <x:v>447.5</x:v>
      </x:c>
      <x:c r="F231" s="20" t="n">
        <x:v>42476.2</x:v>
      </x:c>
      <x:c r="G231" t="n">
        <x:v>38</x:v>
      </x:c>
    </x:row>
    <x:row r="232" ht="23" customHeight="1">
      <x:c r="A232" t="str">
        <x:v>2011-09</x:v>
      </x:c>
      <x:c r="B232" t="n">
        <x:v>201109</x:v>
      </x:c>
      <x:c r="C232" t="str">
        <x:v>Finland</x:v>
      </x:c>
      <x:c r="D232" s="20" t="n">
        <x:v>1105.45</x:v>
      </x:c>
      <x:c r="E232" s="20" t="n">
        <x:v>0</x:v>
      </x:c>
      <x:c r="F232" s="20" t="n">
        <x:v>1105.45</x:v>
      </x:c>
      <x:c r="G232" t="n">
        <x:v>4</x:v>
      </x:c>
    </x:row>
    <x:row r="233" ht="23" customHeight="1">
      <x:c r="A233" t="str">
        <x:v>2011-09</x:v>
      </x:c>
      <x:c r="B233" t="n">
        <x:v>201109</x:v>
      </x:c>
      <x:c r="C233" t="str">
        <x:v>France</x:v>
      </x:c>
      <x:c r="D233" s="20" t="n">
        <x:v>23428.04</x:v>
      </x:c>
      <x:c r="E233" s="20" t="n">
        <x:v>229.17</x:v>
      </x:c>
      <x:c r="F233" s="20" t="n">
        <x:v>23198.87</x:v>
      </x:c>
      <x:c r="G233" t="n">
        <x:v>45</x:v>
      </x:c>
    </x:row>
    <x:row r="234" ht="23" customHeight="1">
      <x:c r="A234" t="str">
        <x:v>2011-09</x:v>
      </x:c>
      <x:c r="B234" t="n">
        <x:v>201109</x:v>
      </x:c>
      <x:c r="C234" t="str">
        <x:v>Germany</x:v>
      </x:c>
      <x:c r="D234" s="20" t="n">
        <x:v>18079.47</x:v>
      </x:c>
      <x:c r="E234" s="20" t="n">
        <x:v>370.91</x:v>
      </x:c>
      <x:c r="F234" s="20" t="n">
        <x:v>17708.56</x:v>
      </x:c>
      <x:c r="G234" t="n">
        <x:v>41</x:v>
      </x:c>
    </x:row>
    <x:row r="235" ht="23" customHeight="1">
      <x:c r="A235" t="str">
        <x:v>2011-09</x:v>
      </x:c>
      <x:c r="B235" t="n">
        <x:v>201109</x:v>
      </x:c>
      <x:c r="C235" t="str">
        <x:v>Hong Kong</x:v>
      </x:c>
      <x:c r="D235" s="20" t="n">
        <x:v>2653.95</x:v>
      </x:c>
      <x:c r="E235" s="20" t="n">
        <x:v>2653.95</x:v>
      </x:c>
      <x:c r="F235" s="20" t="n">
        <x:v>0</x:v>
      </x:c>
      <x:c r="G235" t="n">
        <x:v>1</x:v>
      </x:c>
    </x:row>
    <x:row r="236" ht="23" customHeight="1">
      <x:c r="A236" t="str">
        <x:v>2011-09</x:v>
      </x:c>
      <x:c r="B236" t="n">
        <x:v>201109</x:v>
      </x:c>
      <x:c r="C236" t="str">
        <x:v>Israel</x:v>
      </x:c>
      <x:c r="D236" s="20" t="n">
        <x:v>423.73</x:v>
      </x:c>
      <x:c r="E236" s="20" t="n">
        <x:v>0</x:v>
      </x:c>
      <x:c r="F236" s="20" t="n">
        <x:v>423.73</x:v>
      </x:c>
      <x:c r="G236" t="n">
        <x:v>1</x:v>
      </x:c>
    </x:row>
    <x:row r="237" ht="23" customHeight="1">
      <x:c r="A237" t="str">
        <x:v>2011-09</x:v>
      </x:c>
      <x:c r="B237" t="n">
        <x:v>201109</x:v>
      </x:c>
      <x:c r="C237" t="str">
        <x:v>Italy</x:v>
      </x:c>
      <x:c r="D237" s="20" t="n">
        <x:v>279.8</x:v>
      </x:c>
      <x:c r="E237" s="20" t="n">
        <x:v>0</x:v>
      </x:c>
      <x:c r="F237" s="20" t="n">
        <x:v>279.8</x:v>
      </x:c>
      <x:c r="G237" t="n">
        <x:v>1</x:v>
      </x:c>
    </x:row>
    <x:row r="238" ht="23" customHeight="1">
      <x:c r="A238" t="str">
        <x:v>2011-09</x:v>
      </x:c>
      <x:c r="B238" t="n">
        <x:v>201109</x:v>
      </x:c>
      <x:c r="C238" t="str">
        <x:v>Japan</x:v>
      </x:c>
      <x:c r="D238" s="20" t="n">
        <x:v>112.08</x:v>
      </x:c>
      <x:c r="E238" s="20" t="n">
        <x:v>0</x:v>
      </x:c>
      <x:c r="F238" s="20" t="n">
        <x:v>112.08</x:v>
      </x:c>
      <x:c r="G238" t="n">
        <x:v>1</x:v>
      </x:c>
    </x:row>
    <x:row r="239" ht="23" customHeight="1">
      <x:c r="A239" t="str">
        <x:v>2011-09</x:v>
      </x:c>
      <x:c r="B239" t="n">
        <x:v>201109</x:v>
      </x:c>
      <x:c r="C239" t="str">
        <x:v>Netherlands</x:v>
      </x:c>
      <x:c r="D239" s="20" t="n">
        <x:v>26937.26</x:v>
      </x:c>
      <x:c r="E239" s="20" t="n">
        <x:v>0</x:v>
      </x:c>
      <x:c r="F239" s="20" t="n">
        <x:v>26937.26</x:v>
      </x:c>
      <x:c r="G239" t="n">
        <x:v>7</x:v>
      </x:c>
    </x:row>
    <x:row r="240" ht="23" customHeight="1">
      <x:c r="A240" t="str">
        <x:v>2011-09</x:v>
      </x:c>
      <x:c r="B240" t="n">
        <x:v>201109</x:v>
      </x:c>
      <x:c r="C240" t="str">
        <x:v>Norway</x:v>
      </x:c>
      <x:c r="D240" s="20" t="n">
        <x:v>8678.94</x:v>
      </x:c>
      <x:c r="E240" s="20" t="n">
        <x:v>0</x:v>
      </x:c>
      <x:c r="F240" s="20" t="n">
        <x:v>8678.94</x:v>
      </x:c>
      <x:c r="G240" t="n">
        <x:v>6</x:v>
      </x:c>
    </x:row>
    <x:row r="241" ht="23" customHeight="1">
      <x:c r="A241" t="str">
        <x:v>2011-09</x:v>
      </x:c>
      <x:c r="B241" t="n">
        <x:v>201109</x:v>
      </x:c>
      <x:c r="C241" t="str">
        <x:v>Poland</x:v>
      </x:c>
      <x:c r="D241" s="20" t="n">
        <x:v>529.25</x:v>
      </x:c>
      <x:c r="E241" s="20" t="n">
        <x:v>0</x:v>
      </x:c>
      <x:c r="F241" s="20" t="n">
        <x:v>529.25</x:v>
      </x:c>
      <x:c r="G241" t="n">
        <x:v>2</x:v>
      </x:c>
    </x:row>
    <x:row r="242" ht="23" customHeight="1">
      <x:c r="A242" t="str">
        <x:v>2011-09</x:v>
      </x:c>
      <x:c r="B242" t="n">
        <x:v>201109</x:v>
      </x:c>
      <x:c r="C242" t="str">
        <x:v>Portugal</x:v>
      </x:c>
      <x:c r="D242" s="20" t="n">
        <x:v>1433.22</x:v>
      </x:c>
      <x:c r="E242" s="20" t="n">
        <x:v>0</x:v>
      </x:c>
      <x:c r="F242" s="20" t="n">
        <x:v>1433.22</x:v>
      </x:c>
      <x:c r="G242" t="n">
        <x:v>3</x:v>
      </x:c>
    </x:row>
    <x:row r="243" ht="23" customHeight="1">
      <x:c r="A243" t="str">
        <x:v>2011-09</x:v>
      </x:c>
      <x:c r="B243" t="n">
        <x:v>201109</x:v>
      </x:c>
      <x:c r="C243" t="str">
        <x:v>Spain</x:v>
      </x:c>
      <x:c r="D243" s="20" t="n">
        <x:v>5189.24</x:v>
      </x:c>
      <x:c r="E243" s="20" t="n">
        <x:v>25.5</x:v>
      </x:c>
      <x:c r="F243" s="20" t="n">
        <x:v>5163.74</x:v>
      </x:c>
      <x:c r="G243" t="n">
        <x:v>8</x:v>
      </x:c>
    </x:row>
    <x:row r="244" ht="23" customHeight="1">
      <x:c r="A244" t="str">
        <x:v>2011-09</x:v>
      </x:c>
      <x:c r="B244" t="n">
        <x:v>201109</x:v>
      </x:c>
      <x:c r="C244" t="str">
        <x:v>Sweden</x:v>
      </x:c>
      <x:c r="D244" s="20" t="n">
        <x:v>4575.21</x:v>
      </x:c>
      <x:c r="E244" s="20" t="n">
        <x:v>0</x:v>
      </x:c>
      <x:c r="F244" s="20" t="n">
        <x:v>4575.21</x:v>
      </x:c>
      <x:c r="G244" t="n">
        <x:v>3</x:v>
      </x:c>
    </x:row>
    <x:row r="245" ht="23" customHeight="1">
      <x:c r="A245" t="str">
        <x:v>2011-09</x:v>
      </x:c>
      <x:c r="B245" t="n">
        <x:v>201109</x:v>
      </x:c>
      <x:c r="C245" t="str">
        <x:v>Switzerland</x:v>
      </x:c>
      <x:c r="D245" s="20" t="n">
        <x:v>8284.86</x:v>
      </x:c>
      <x:c r="E245" s="20" t="n">
        <x:v>29.9</x:v>
      </x:c>
      <x:c r="F245" s="20" t="n">
        <x:v>8254.96</x:v>
      </x:c>
      <x:c r="G245" t="n">
        <x:v>7</x:v>
      </x:c>
    </x:row>
    <x:row r="246" ht="23" customHeight="1">
      <x:c r="A246" t="str">
        <x:v>2011-09</x:v>
      </x:c>
      <x:c r="B246" t="n">
        <x:v>201109</x:v>
      </x:c>
      <x:c r="C246" t="str">
        <x:v>United Arab Emirates</x:v>
      </x:c>
      <x:c r="D246" s="20" t="n">
        <x:v>1013.04</x:v>
      </x:c>
      <x:c r="E246" s="20" t="n">
        <x:v>0</x:v>
      </x:c>
      <x:c r="F246" s="20" t="n">
        <x:v>1013.04</x:v>
      </x:c>
      <x:c r="G246" t="n">
        <x:v>2</x:v>
      </x:c>
    </x:row>
    <x:row r="247" ht="23" customHeight="1">
      <x:c r="A247" t="str">
        <x:v>2011-09</x:v>
      </x:c>
      <x:c r="B247" t="n">
        <x:v>201109</x:v>
      </x:c>
      <x:c r="C247" t="str">
        <x:v>United Kingdom</x:v>
      </x:c>
      <x:c r="D247" s="20" t="n">
        <x:v>895098.642</x:v>
      </x:c>
      <x:c r="E247" s="20" t="n">
        <x:v>34994.28</x:v>
      </x:c>
      <x:c r="F247" s="20" t="n">
        <x:v>860104.362</x:v>
      </x:c>
      <x:c r="G247" t="n">
        <x:v>1645</x:v>
      </x:c>
    </x:row>
    <x:row r="248" ht="23" customHeight="1">
      <x:c r="A248" t="str">
        <x:v>2011-09</x:v>
      </x:c>
      <x:c r="B248" t="n">
        <x:v>201109</x:v>
      </x:c>
      <x:c r="C248" t="str">
        <x:v>Unspecified</x:v>
      </x:c>
      <x:c r="D248" s="20" t="n">
        <x:v>284.3</x:v>
      </x:c>
      <x:c r="E248" s="20" t="n">
        <x:v>0</x:v>
      </x:c>
      <x:c r="F248" s="20" t="n">
        <x:v>284.3</x:v>
      </x:c>
      <x:c r="G248" t="n">
        <x:v>1</x:v>
      </x:c>
    </x:row>
    <x:row r="249" ht="23" customHeight="1">
      <x:c r="A249" t="str">
        <x:v>2011-10</x:v>
      </x:c>
      <x:c r="B249" t="n">
        <x:v>201110</x:v>
      </x:c>
      <x:c r="C249" t="str">
        <x:v>Australia</x:v>
      </x:c>
      <x:c r="D249" s="20" t="n">
        <x:v>17150.53</x:v>
      </x:c>
      <x:c r="E249" s="20" t="n">
        <x:v>0</x:v>
      </x:c>
      <x:c r="F249" s="20" t="n">
        <x:v>17150.53</x:v>
      </x:c>
      <x:c r="G249" t="n">
        <x:v>4</x:v>
      </x:c>
    </x:row>
    <x:row r="250" ht="23" customHeight="1">
      <x:c r="A250" t="str">
        <x:v>2011-10</x:v>
      </x:c>
      <x:c r="B250" t="n">
        <x:v>201110</x:v>
      </x:c>
      <x:c r="C250" t="str">
        <x:v>Austria</x:v>
      </x:c>
      <x:c r="D250" s="20" t="n">
        <x:v>1043.78</x:v>
      </x:c>
      <x:c r="E250" s="20" t="n">
        <x:v>0</x:v>
      </x:c>
      <x:c r="F250" s="20" t="n">
        <x:v>1043.78</x:v>
      </x:c>
      <x:c r="G250" t="n">
        <x:v>1</x:v>
      </x:c>
    </x:row>
    <x:row r="251" ht="23" customHeight="1">
      <x:c r="A251" t="str">
        <x:v>2011-10</x:v>
      </x:c>
      <x:c r="B251" t="n">
        <x:v>201110</x:v>
      </x:c>
      <x:c r="C251" t="str">
        <x:v>Belgium</x:v>
      </x:c>
      <x:c r="D251" s="20" t="n">
        <x:v>5685.38</x:v>
      </x:c>
      <x:c r="E251" s="20" t="n">
        <x:v>34</x:v>
      </x:c>
      <x:c r="F251" s="20" t="n">
        <x:v>5651.38</x:v>
      </x:c>
      <x:c r="G251" t="n">
        <x:v>11</x:v>
      </x:c>
    </x:row>
    <x:row r="252" ht="23" customHeight="1">
      <x:c r="A252" t="str">
        <x:v>2011-10</x:v>
      </x:c>
      <x:c r="B252" t="n">
        <x:v>201110</x:v>
      </x:c>
      <x:c r="C252" t="str">
        <x:v>Channel Islands</x:v>
      </x:c>
      <x:c r="D252" s="20" t="n">
        <x:v>2623.32</x:v>
      </x:c>
      <x:c r="E252" s="20" t="n">
        <x:v>0</x:v>
      </x:c>
      <x:c r="F252" s="20" t="n">
        <x:v>2623.32</x:v>
      </x:c>
      <x:c r="G252" t="n">
        <x:v>5</x:v>
      </x:c>
    </x:row>
    <x:row r="253" ht="23" customHeight="1">
      <x:c r="A253" t="str">
        <x:v>2011-10</x:v>
      </x:c>
      <x:c r="B253" t="n">
        <x:v>201110</x:v>
      </x:c>
      <x:c r="C253" t="str">
        <x:v>Cyprus</x:v>
      </x:c>
      <x:c r="D253" s="20" t="n">
        <x:v>4350.32</x:v>
      </x:c>
      <x:c r="E253" s="20" t="n">
        <x:v>196.35</x:v>
      </x:c>
      <x:c r="F253" s="20" t="n">
        <x:v>4153.97</x:v>
      </x:c>
      <x:c r="G253" t="n">
        <x:v>4</x:v>
      </x:c>
    </x:row>
    <x:row r="254" ht="23" customHeight="1">
      <x:c r="A254" t="str">
        <x:v>2011-10</x:v>
      </x:c>
      <x:c r="B254" t="n">
        <x:v>201110</x:v>
      </x:c>
      <x:c r="C254" t="str">
        <x:v>Czech Republic</x:v>
      </x:c>
      <x:c r="D254" s="20" t="n">
        <x:v>277.48</x:v>
      </x:c>
      <x:c r="E254" s="20" t="n">
        <x:v>0</x:v>
      </x:c>
      <x:c r="F254" s="20" t="n">
        <x:v>277.48</x:v>
      </x:c>
      <x:c r="G254" t="n">
        <x:v>1</x:v>
      </x:c>
    </x:row>
    <x:row r="255" ht="23" customHeight="1">
      <x:c r="A255" t="str">
        <x:v>2011-10</x:v>
      </x:c>
      <x:c r="B255" t="n">
        <x:v>201110</x:v>
      </x:c>
      <x:c r="C255" t="str">
        <x:v>Denmark</x:v>
      </x:c>
      <x:c r="D255" s="20" t="n">
        <x:v>1490.76</x:v>
      </x:c>
      <x:c r="E255" s="20" t="n">
        <x:v>52.65</x:v>
      </x:c>
      <x:c r="F255" s="20" t="n">
        <x:v>1438.11</x:v>
      </x:c>
      <x:c r="G255" t="n">
        <x:v>3</x:v>
      </x:c>
    </x:row>
    <x:row r="256" ht="23" customHeight="1">
      <x:c r="A256" t="str">
        <x:v>2011-10</x:v>
      </x:c>
      <x:c r="B256" t="n">
        <x:v>201110</x:v>
      </x:c>
      <x:c r="C256" t="str">
        <x:v>EIRE</x:v>
      </x:c>
      <x:c r="D256" s="20" t="n">
        <x:v>24302.92</x:v>
      </x:c>
      <x:c r="E256" s="20" t="n">
        <x:v>1010.3</x:v>
      </x:c>
      <x:c r="F256" s="20" t="n">
        <x:v>23292.62</x:v>
      </x:c>
      <x:c r="G256" t="n">
        <x:v>31</x:v>
      </x:c>
    </x:row>
    <x:row r="257" ht="23" customHeight="1">
      <x:c r="A257" t="str">
        <x:v>2011-10</x:v>
      </x:c>
      <x:c r="B257" t="n">
        <x:v>201110</x:v>
      </x:c>
      <x:c r="C257" t="str">
        <x:v>Finland</x:v>
      </x:c>
      <x:c r="D257" s="20" t="n">
        <x:v>2822.12</x:v>
      </x:c>
      <x:c r="E257" s="20" t="n">
        <x:v>18</x:v>
      </x:c>
      <x:c r="F257" s="20" t="n">
        <x:v>2804.12</x:v>
      </x:c>
      <x:c r="G257" t="n">
        <x:v>6</x:v>
      </x:c>
    </x:row>
    <x:row r="258" ht="23" customHeight="1">
      <x:c r="A258" t="str">
        <x:v>2011-10</x:v>
      </x:c>
      <x:c r="B258" t="n">
        <x:v>201110</x:v>
      </x:c>
      <x:c r="C258" t="str">
        <x:v>France</x:v>
      </x:c>
      <x:c r="D258" s="20" t="n">
        <x:v>33471.05</x:v>
      </x:c>
      <x:c r="E258" s="20" t="n">
        <x:v>8453.41</x:v>
      </x:c>
      <x:c r="F258" s="20" t="n">
        <x:v>25017.64</x:v>
      </x:c>
      <x:c r="G258" t="n">
        <x:v>35</x:v>
      </x:c>
    </x:row>
    <x:row r="259" ht="23" customHeight="1">
      <x:c r="A259" t="str">
        <x:v>2011-10</x:v>
      </x:c>
      <x:c r="B259" t="n">
        <x:v>201110</x:v>
      </x:c>
      <x:c r="C259" t="str">
        <x:v>Germany</x:v>
      </x:c>
      <x:c r="D259" s="20" t="n">
        <x:v>31628.42</x:v>
      </x:c>
      <x:c r="E259" s="20" t="n">
        <x:v>1024.15</x:v>
      </x:c>
      <x:c r="F259" s="20" t="n">
        <x:v>30604.27</x:v>
      </x:c>
      <x:c r="G259" t="n">
        <x:v>58</x:v>
      </x:c>
    </x:row>
    <x:row r="260" ht="23" customHeight="1">
      <x:c r="A260" t="str">
        <x:v>2011-10</x:v>
      </x:c>
      <x:c r="B260" t="n">
        <x:v>201110</x:v>
      </x:c>
      <x:c r="C260" t="str">
        <x:v>Hong Kong</x:v>
      </x:c>
      <x:c r="D260" s="20" t="n">
        <x:v>734.52</x:v>
      </x:c>
      <x:c r="E260" s="20" t="n">
        <x:v>10.95</x:v>
      </x:c>
      <x:c r="F260" s="20" t="n">
        <x:v>723.57</x:v>
      </x:c>
      <x:c r="G260" t="n">
        <x:v>2</x:v>
      </x:c>
    </x:row>
    <x:row r="261" ht="23" customHeight="1">
      <x:c r="A261" t="str">
        <x:v>2011-10</x:v>
      </x:c>
      <x:c r="B261" t="n">
        <x:v>201110</x:v>
      </x:c>
      <x:c r="C261" t="str">
        <x:v>Iceland</x:v>
      </x:c>
      <x:c r="D261" s="20" t="n">
        <x:v>1294.32</x:v>
      </x:c>
      <x:c r="E261" s="20" t="n">
        <x:v>0</x:v>
      </x:c>
      <x:c r="F261" s="20" t="n">
        <x:v>1294.32</x:v>
      </x:c>
      <x:c r="G261" t="n">
        <x:v>1</x:v>
      </x:c>
    </x:row>
    <x:row r="262" ht="23" customHeight="1">
      <x:c r="A262" t="str">
        <x:v>2011-10</x:v>
      </x:c>
      <x:c r="B262" t="n">
        <x:v>201110</x:v>
      </x:c>
      <x:c r="C262" t="str">
        <x:v>Israel</x:v>
      </x:c>
      <x:c r="D262" s="20" t="n">
        <x:v>132.18</x:v>
      </x:c>
      <x:c r="E262" s="20" t="n">
        <x:v>0</x:v>
      </x:c>
      <x:c r="F262" s="20" t="n">
        <x:v>132.18</x:v>
      </x:c>
      <x:c r="G262" t="n">
        <x:v>2</x:v>
      </x:c>
    </x:row>
    <x:row r="263" ht="23" customHeight="1">
      <x:c r="A263" t="str">
        <x:v>2011-10</x:v>
      </x:c>
      <x:c r="B263" t="n">
        <x:v>201110</x:v>
      </x:c>
      <x:c r="C263" t="str">
        <x:v>Italy</x:v>
      </x:c>
      <x:c r="D263" s="20" t="n">
        <x:v>3489.69</x:v>
      </x:c>
      <x:c r="E263" s="20" t="n">
        <x:v>78.9</x:v>
      </x:c>
      <x:c r="F263" s="20" t="n">
        <x:v>3410.79</x:v>
      </x:c>
      <x:c r="G263" t="n">
        <x:v>7</x:v>
      </x:c>
    </x:row>
    <x:row r="264" ht="23" customHeight="1">
      <x:c r="A264" t="str">
        <x:v>2011-10</x:v>
      </x:c>
      <x:c r="B264" t="n">
        <x:v>201110</x:v>
      </x:c>
      <x:c r="C264" t="str">
        <x:v>Japan</x:v>
      </x:c>
      <x:c r="D264" s="20" t="n">
        <x:v>1948.04</x:v>
      </x:c>
      <x:c r="E264" s="20" t="n">
        <x:v>0</x:v>
      </x:c>
      <x:c r="F264" s="20" t="n">
        <x:v>1948.04</x:v>
      </x:c>
      <x:c r="G264" t="n">
        <x:v>2</x:v>
      </x:c>
    </x:row>
    <x:row r="265" ht="23" customHeight="1">
      <x:c r="A265" t="str">
        <x:v>2011-10</x:v>
      </x:c>
      <x:c r="B265" t="n">
        <x:v>201110</x:v>
      </x:c>
      <x:c r="C265" t="str">
        <x:v>Netherlands</x:v>
      </x:c>
      <x:c r="D265" s="20" t="n">
        <x:v>40708.65</x:v>
      </x:c>
      <x:c r="E265" s="20" t="n">
        <x:v>0</x:v>
      </x:c>
      <x:c r="F265" s="20" t="n">
        <x:v>40708.65</x:v>
      </x:c>
      <x:c r="G265" t="n">
        <x:v>15</x:v>
      </x:c>
    </x:row>
    <x:row r="266" ht="23" customHeight="1">
      <x:c r="A266" t="str">
        <x:v>2011-10</x:v>
      </x:c>
      <x:c r="B266" t="n">
        <x:v>201110</x:v>
      </x:c>
      <x:c r="C266" t="str">
        <x:v>Norway</x:v>
      </x:c>
      <x:c r="D266" s="20" t="n">
        <x:v>3687.23</x:v>
      </x:c>
      <x:c r="E266" s="20" t="n">
        <x:v>0</x:v>
      </x:c>
      <x:c r="F266" s="20" t="n">
        <x:v>3687.23</x:v>
      </x:c>
      <x:c r="G266" t="n">
        <x:v>7</x:v>
      </x:c>
    </x:row>
    <x:row r="267" ht="23" customHeight="1">
      <x:c r="A267" t="str">
        <x:v>2011-10</x:v>
      </x:c>
      <x:c r="B267" t="n">
        <x:v>201110</x:v>
      </x:c>
      <x:c r="C267" t="str">
        <x:v>Portugal</x:v>
      </x:c>
      <x:c r="D267" s="20" t="n">
        <x:v>6184.22</x:v>
      </x:c>
      <x:c r="E267" s="20" t="n">
        <x:v>622.04</x:v>
      </x:c>
      <x:c r="F267" s="20" t="n">
        <x:v>5562.18</x:v>
      </x:c>
      <x:c r="G267" t="n">
        <x:v>10</x:v>
      </x:c>
    </x:row>
    <x:row r="268" ht="23" customHeight="1">
      <x:c r="A268" t="str">
        <x:v>2011-10</x:v>
      </x:c>
      <x:c r="B268" t="n">
        <x:v>201110</x:v>
      </x:c>
      <x:c r="C268" t="str">
        <x:v>RSA</x:v>
      </x:c>
      <x:c r="D268" s="20" t="n">
        <x:v>1002.31</x:v>
      </x:c>
      <x:c r="E268" s="20" t="n">
        <x:v>0</x:v>
      </x:c>
      <x:c r="F268" s="20" t="n">
        <x:v>1002.31</x:v>
      </x:c>
      <x:c r="G268" t="n">
        <x:v>1</x:v>
      </x:c>
    </x:row>
    <x:row r="269" ht="23" customHeight="1">
      <x:c r="A269" t="str">
        <x:v>2011-10</x:v>
      </x:c>
      <x:c r="B269" t="n">
        <x:v>201110</x:v>
      </x:c>
      <x:c r="C269" t="str">
        <x:v>Singapore</x:v>
      </x:c>
      <x:c r="D269" s="20" t="n">
        <x:v>7067.32</x:v>
      </x:c>
      <x:c r="E269" s="20" t="n">
        <x:v>6068.06</x:v>
      </x:c>
      <x:c r="F269" s="20" t="n">
        <x:v>999.26</x:v>
      </x:c>
      <x:c r="G269" t="n">
        <x:v>2</x:v>
      </x:c>
    </x:row>
    <x:row r="270" ht="23" customHeight="1">
      <x:c r="A270" t="str">
        <x:v>2011-10</x:v>
      </x:c>
      <x:c r="B270" t="n">
        <x:v>201110</x:v>
      </x:c>
      <x:c r="C270" t="str">
        <x:v>Spain</x:v>
      </x:c>
      <x:c r="D270" s="20" t="n">
        <x:v>8636.94</x:v>
      </x:c>
      <x:c r="E270" s="20" t="n">
        <x:v>3558.29</x:v>
      </x:c>
      <x:c r="F270" s="20" t="n">
        <x:v>5078.65</x:v>
      </x:c>
      <x:c r="G270" t="n">
        <x:v>8</x:v>
      </x:c>
    </x:row>
    <x:row r="271" ht="23" customHeight="1">
      <x:c r="A271" t="str">
        <x:v>2011-10</x:v>
      </x:c>
      <x:c r="B271" t="n">
        <x:v>201110</x:v>
      </x:c>
      <x:c r="C271" t="str">
        <x:v>Sweden</x:v>
      </x:c>
      <x:c r="D271" s="20" t="n">
        <x:v>5766.16</x:v>
      </x:c>
      <x:c r="E271" s="20" t="n">
        <x:v>0</x:v>
      </x:c>
      <x:c r="F271" s="20" t="n">
        <x:v>5766.16</x:v>
      </x:c>
      <x:c r="G271" t="n">
        <x:v>3</x:v>
      </x:c>
    </x:row>
    <x:row r="272" ht="23" customHeight="1">
      <x:c r="A272" t="str">
        <x:v>2011-10</x:v>
      </x:c>
      <x:c r="B272" t="n">
        <x:v>201110</x:v>
      </x:c>
      <x:c r="C272" t="str">
        <x:v>Switzerland</x:v>
      </x:c>
      <x:c r="D272" s="20" t="n">
        <x:v>8050.73</x:v>
      </x:c>
      <x:c r="E272" s="20" t="n">
        <x:v>31.2</x:v>
      </x:c>
      <x:c r="F272" s="20" t="n">
        <x:v>8019.53</x:v>
      </x:c>
      <x:c r="G272" t="n">
        <x:v>8</x:v>
      </x:c>
    </x:row>
    <x:row r="273" ht="23" customHeight="1">
      <x:c r="A273" t="str">
        <x:v>2011-10</x:v>
      </x:c>
      <x:c r="B273" t="n">
        <x:v>201110</x:v>
      </x:c>
      <x:c r="C273" t="str">
        <x:v>USA</x:v>
      </x:c>
      <x:c r="D273" s="20" t="n">
        <x:v>2311.2</x:v>
      </x:c>
      <x:c r="E273" s="20" t="n">
        <x:v>1579.51</x:v>
      </x:c>
      <x:c r="F273" s="20" t="n">
        <x:v>731.69</x:v>
      </x:c>
      <x:c r="G273" t="n">
        <x:v>2</x:v>
      </x:c>
    </x:row>
    <x:row r="274" ht="23" customHeight="1">
      <x:c r="A274" t="str">
        <x:v>2011-10</x:v>
      </x:c>
      <x:c r="B274" t="n">
        <x:v>201110</x:v>
      </x:c>
      <x:c r="C274" t="str">
        <x:v>United Kingdom</x:v>
      </x:c>
      <x:c r="D274" s="20" t="n">
        <x:v>935404.14</x:v>
      </x:c>
      <x:c r="E274" s="20" t="n">
        <x:v>59157.69</x:v>
      </x:c>
      <x:c r="F274" s="20" t="n">
        <x:v>876246.45</x:v>
      </x:c>
      <x:c r="G274" t="n">
        <x:v>1811</x:v>
      </x:c>
    </x:row>
    <x:row r="275" ht="23" customHeight="1">
      <x:c r="A275" t="str">
        <x:v>2011-11</x:v>
      </x:c>
      <x:c r="B275" t="n">
        <x:v>201111</x:v>
      </x:c>
      <x:c r="C275" t="str">
        <x:v>Australia</x:v>
      </x:c>
      <x:c r="D275" s="20" t="n">
        <x:v>7242.72</x:v>
      </x:c>
      <x:c r="E275" s="20" t="n">
        <x:v>436.73</x:v>
      </x:c>
      <x:c r="F275" s="20" t="n">
        <x:v>6805.99</x:v>
      </x:c>
      <x:c r="G275" t="n">
        <x:v>6</x:v>
      </x:c>
    </x:row>
    <x:row r="276" ht="23" customHeight="1">
      <x:c r="A276" t="str">
        <x:v>2011-11</x:v>
      </x:c>
      <x:c r="B276" t="n">
        <x:v>201111</x:v>
      </x:c>
      <x:c r="C276" t="str">
        <x:v>Austria</x:v>
      </x:c>
      <x:c r="D276" s="20" t="n">
        <x:v>1329.78</x:v>
      </x:c>
      <x:c r="E276" s="20" t="n">
        <x:v>0</x:v>
      </x:c>
      <x:c r="F276" s="20" t="n">
        <x:v>1329.78</x:v>
      </x:c>
      <x:c r="G276" t="n">
        <x:v>2</x:v>
      </x:c>
    </x:row>
    <x:row r="277" ht="23" customHeight="1">
      <x:c r="A277" t="str">
        <x:v>2011-11</x:v>
      </x:c>
      <x:c r="B277" t="n">
        <x:v>201111</x:v>
      </x:c>
      <x:c r="C277" t="str">
        <x:v>Belgium</x:v>
      </x:c>
      <x:c r="D277" s="20" t="n">
        <x:v>6315.76</x:v>
      </x:c>
      <x:c r="E277" s="20" t="n">
        <x:v>86.35</x:v>
      </x:c>
      <x:c r="F277" s="20" t="n">
        <x:v>6229.41</x:v>
      </x:c>
      <x:c r="G277" t="n">
        <x:v>11</x:v>
      </x:c>
    </x:row>
    <x:row r="278" ht="23" customHeight="1">
      <x:c r="A278" t="str">
        <x:v>2011-11</x:v>
      </x:c>
      <x:c r="B278" t="n">
        <x:v>201111</x:v>
      </x:c>
      <x:c r="C278" t="str">
        <x:v>Channel Islands</x:v>
      </x:c>
      <x:c r="D278" s="20" t="n">
        <x:v>1514.77</x:v>
      </x:c>
      <x:c r="E278" s="20" t="n">
        <x:v>19.6</x:v>
      </x:c>
      <x:c r="F278" s="20" t="n">
        <x:v>1495.17</x:v>
      </x:c>
      <x:c r="G278" t="n">
        <x:v>3</x:v>
      </x:c>
    </x:row>
    <x:row r="279" ht="23" customHeight="1">
      <x:c r="A279" t="str">
        <x:v>2011-11</x:v>
      </x:c>
      <x:c r="B279" t="n">
        <x:v>201111</x:v>
      </x:c>
      <x:c r="C279" t="str">
        <x:v>Cyprus</x:v>
      </x:c>
      <x:c r="D279" s="20" t="n">
        <x:v>439.66</x:v>
      </x:c>
      <x:c r="E279" s="20" t="n">
        <x:v>0</x:v>
      </x:c>
      <x:c r="F279" s="20" t="n">
        <x:v>439.66</x:v>
      </x:c>
      <x:c r="G279" t="n">
        <x:v>1</x:v>
      </x:c>
    </x:row>
    <x:row r="280" ht="23" customHeight="1">
      <x:c r="A280" t="str">
        <x:v>2011-11</x:v>
      </x:c>
      <x:c r="B280" t="n">
        <x:v>201111</x:v>
      </x:c>
      <x:c r="C280" t="str">
        <x:v>Czech Republic</x:v>
      </x:c>
      <x:c r="D280" s="20" t="n">
        <x:v>0</x:v>
      </x:c>
      <x:c r="E280" s="20" t="n">
        <x:v>61.51</x:v>
      </x:c>
      <x:c r="F280" s="20" t="n">
        <x:v>-61.51</x:v>
      </x:c>
      <x:c r="G280" t="n">
        <x:v>0</x:v>
      </x:c>
    </x:row>
    <x:row r="281" ht="23" customHeight="1">
      <x:c r="A281" t="str">
        <x:v>2011-11</x:v>
      </x:c>
      <x:c r="B281" t="n">
        <x:v>201111</x:v>
      </x:c>
      <x:c r="C281" t="str">
        <x:v>Denmark</x:v>
      </x:c>
      <x:c r="D281" s="20" t="n">
        <x:v>2699.57</x:v>
      </x:c>
      <x:c r="E281" s="20" t="n">
        <x:v>0</x:v>
      </x:c>
      <x:c r="F281" s="20" t="n">
        <x:v>2699.57</x:v>
      </x:c>
      <x:c r="G281" t="n">
        <x:v>2</x:v>
      </x:c>
    </x:row>
    <x:row r="282" ht="23" customHeight="1">
      <x:c r="A282" t="str">
        <x:v>2011-11</x:v>
      </x:c>
      <x:c r="B282" t="n">
        <x:v>201111</x:v>
      </x:c>
      <x:c r="C282" t="str">
        <x:v>EIRE</x:v>
      </x:c>
      <x:c r="D282" s="20" t="n">
        <x:v>30713.43</x:v>
      </x:c>
      <x:c r="E282" s="20" t="n">
        <x:v>325.38</x:v>
      </x:c>
      <x:c r="F282" s="20" t="n">
        <x:v>30388.05</x:v>
      </x:c>
      <x:c r="G282" t="n">
        <x:v>42</x:v>
      </x:c>
    </x:row>
    <x:row r="283" ht="23" customHeight="1">
      <x:c r="A283" t="str">
        <x:v>2011-11</x:v>
      </x:c>
      <x:c r="B283" t="n">
        <x:v>201111</x:v>
      </x:c>
      <x:c r="C283" t="str">
        <x:v>Finland</x:v>
      </x:c>
      <x:c r="D283" s="20" t="n">
        <x:v>3070.24</x:v>
      </x:c>
      <x:c r="E283" s="20" t="n">
        <x:v>120</x:v>
      </x:c>
      <x:c r="F283" s="20" t="n">
        <x:v>2950.24</x:v>
      </x:c>
      <x:c r="G283" t="n">
        <x:v>8</x:v>
      </x:c>
    </x:row>
    <x:row r="284" ht="23" customHeight="1">
      <x:c r="A284" t="str">
        <x:v>2011-11</x:v>
      </x:c>
      <x:c r="B284" t="n">
        <x:v>201111</x:v>
      </x:c>
      <x:c r="C284" t="str">
        <x:v>France</x:v>
      </x:c>
      <x:c r="D284" s="20" t="n">
        <x:v>31696.37</x:v>
      </x:c>
      <x:c r="E284" s="20" t="n">
        <x:v>1058.25</x:v>
      </x:c>
      <x:c r="F284" s="20" t="n">
        <x:v>30638.12</x:v>
      </x:c>
      <x:c r="G284" t="n">
        <x:v>64</x:v>
      </x:c>
    </x:row>
    <x:row r="285" ht="23" customHeight="1">
      <x:c r="A285" t="str">
        <x:v>2011-11</x:v>
      </x:c>
      <x:c r="B285" t="n">
        <x:v>201111</x:v>
      </x:c>
      <x:c r="C285" t="str">
        <x:v>Germany</x:v>
      </x:c>
      <x:c r="D285" s="20" t="n">
        <x:v>27967.68</x:v>
      </x:c>
      <x:c r="E285" s="20" t="n">
        <x:v>1980.67</x:v>
      </x:c>
      <x:c r="F285" s="20" t="n">
        <x:v>25987.01</x:v>
      </x:c>
      <x:c r="G285" t="n">
        <x:v>68</x:v>
      </x:c>
    </x:row>
    <x:row r="286" ht="23" customHeight="1">
      <x:c r="A286" t="str">
        <x:v>2011-11</x:v>
      </x:c>
      <x:c r="B286" t="n">
        <x:v>201111</x:v>
      </x:c>
      <x:c r="C286" t="str">
        <x:v>Hong Kong</x:v>
      </x:c>
      <x:c r="D286" s="20" t="n">
        <x:v>326.1</x:v>
      </x:c>
      <x:c r="E286" s="20" t="n">
        <x:v>326.1</x:v>
      </x:c>
      <x:c r="F286" s="20" t="n">
        <x:v>0</x:v>
      </x:c>
      <x:c r="G286" t="n">
        <x:v>1</x:v>
      </x:c>
    </x:row>
    <x:row r="287" ht="23" customHeight="1">
      <x:c r="A287" t="str">
        <x:v>2011-11</x:v>
      </x:c>
      <x:c r="B287" t="n">
        <x:v>201111</x:v>
      </x:c>
      <x:c r="C287" t="str">
        <x:v>Italy</x:v>
      </x:c>
      <x:c r="D287" s="20" t="n">
        <x:v>4571.08</x:v>
      </x:c>
      <x:c r="E287" s="20" t="n">
        <x:v>327.33</x:v>
      </x:c>
      <x:c r="F287" s="20" t="n">
        <x:v>4243.75</x:v>
      </x:c>
      <x:c r="G287" t="n">
        <x:v>9</x:v>
      </x:c>
    </x:row>
    <x:row r="288" ht="23" customHeight="1">
      <x:c r="A288" t="str">
        <x:v>2011-11</x:v>
      </x:c>
      <x:c r="B288" t="n">
        <x:v>201111</x:v>
      </x:c>
      <x:c r="C288" t="str">
        <x:v>Japan</x:v>
      </x:c>
      <x:c r="D288" s="20" t="n">
        <x:v>8460.08</x:v>
      </x:c>
      <x:c r="E288" s="20" t="n">
        <x:v>0</x:v>
      </x:c>
      <x:c r="F288" s="20" t="n">
        <x:v>8460.08</x:v>
      </x:c>
      <x:c r="G288" t="n">
        <x:v>2</x:v>
      </x:c>
    </x:row>
    <x:row r="289" ht="23" customHeight="1">
      <x:c r="A289" t="str">
        <x:v>2011-11</x:v>
      </x:c>
      <x:c r="B289" t="n">
        <x:v>201111</x:v>
      </x:c>
      <x:c r="C289" t="str">
        <x:v>Malta</x:v>
      </x:c>
      <x:c r="D289" s="20" t="n">
        <x:v>743.43</x:v>
      </x:c>
      <x:c r="E289" s="20" t="n">
        <x:v>160.81</x:v>
      </x:c>
      <x:c r="F289" s="20" t="n">
        <x:v>582.62</x:v>
      </x:c>
      <x:c r="G289" t="n">
        <x:v>1</x:v>
      </x:c>
    </x:row>
    <x:row r="290" ht="23" customHeight="1">
      <x:c r="A290" t="str">
        <x:v>2011-11</x:v>
      </x:c>
      <x:c r="B290" t="n">
        <x:v>201111</x:v>
      </x:c>
      <x:c r="C290" t="str">
        <x:v>Netherlands</x:v>
      </x:c>
      <x:c r="D290" s="20" t="n">
        <x:v>25874.01</x:v>
      </x:c>
      <x:c r="E290" s="20" t="n">
        <x:v>18</x:v>
      </x:c>
      <x:c r="F290" s="20" t="n">
        <x:v>25856.01</x:v>
      </x:c>
      <x:c r="G290" t="n">
        <x:v>15</x:v>
      </x:c>
    </x:row>
    <x:row r="291" ht="23" customHeight="1">
      <x:c r="A291" t="str">
        <x:v>2011-11</x:v>
      </x:c>
      <x:c r="B291" t="n">
        <x:v>201111</x:v>
      </x:c>
      <x:c r="C291" t="str">
        <x:v>Norway</x:v>
      </x:c>
      <x:c r="D291" s="20" t="n">
        <x:v>6527.5</x:v>
      </x:c>
      <x:c r="E291" s="20" t="n">
        <x:v>0</x:v>
      </x:c>
      <x:c r="F291" s="20" t="n">
        <x:v>6527.5</x:v>
      </x:c>
      <x:c r="G291" t="n">
        <x:v>5</x:v>
      </x:c>
    </x:row>
    <x:row r="292" ht="23" customHeight="1">
      <x:c r="A292" t="str">
        <x:v>2011-11</x:v>
      </x:c>
      <x:c r="B292" t="n">
        <x:v>201111</x:v>
      </x:c>
      <x:c r="C292" t="str">
        <x:v>Poland</x:v>
      </x:c>
      <x:c r="D292" s="20" t="n">
        <x:v>1361.23</x:v>
      </x:c>
      <x:c r="E292" s="20" t="n">
        <x:v>19.36</x:v>
      </x:c>
      <x:c r="F292" s="20" t="n">
        <x:v>1341.87</x:v>
      </x:c>
      <x:c r="G292" t="n">
        <x:v>2</x:v>
      </x:c>
    </x:row>
    <x:row r="293" ht="23" customHeight="1">
      <x:c r="A293" t="str">
        <x:v>2011-11</x:v>
      </x:c>
      <x:c r="B293" t="n">
        <x:v>201111</x:v>
      </x:c>
      <x:c r="C293" t="str">
        <x:v>Portugal</x:v>
      </x:c>
      <x:c r="D293" s="20" t="n">
        <x:v>2603.3</x:v>
      </x:c>
      <x:c r="E293" s="20" t="n">
        <x:v>0</x:v>
      </x:c>
      <x:c r="F293" s="20" t="n">
        <x:v>2603.3</x:v>
      </x:c>
      <x:c r="G293" t="n">
        <x:v>10</x:v>
      </x:c>
    </x:row>
    <x:row r="294" ht="23" customHeight="1">
      <x:c r="A294" t="str">
        <x:v>2011-11</x:v>
      </x:c>
      <x:c r="B294" t="n">
        <x:v>201111</x:v>
      </x:c>
      <x:c r="C294" t="str">
        <x:v>Spain</x:v>
      </x:c>
      <x:c r="D294" s="20" t="n">
        <x:v>8669.06</x:v>
      </x:c>
      <x:c r="E294" s="20" t="n">
        <x:v>145.09</x:v>
      </x:c>
      <x:c r="F294" s="20" t="n">
        <x:v>8523.97</x:v>
      </x:c>
      <x:c r="G294" t="n">
        <x:v>14</x:v>
      </x:c>
    </x:row>
    <x:row r="295" ht="23" customHeight="1">
      <x:c r="A295" t="str">
        <x:v>2011-11</x:v>
      </x:c>
      <x:c r="B295" t="n">
        <x:v>201111</x:v>
      </x:c>
      <x:c r="C295" t="str">
        <x:v>Sweden</x:v>
      </x:c>
      <x:c r="D295" s="20" t="n">
        <x:v>2722.23</x:v>
      </x:c>
      <x:c r="E295" s="20" t="n">
        <x:v>109.52</x:v>
      </x:c>
      <x:c r="F295" s="20" t="n">
        <x:v>2612.71</x:v>
      </x:c>
      <x:c r="G295" t="n">
        <x:v>5</x:v>
      </x:c>
    </x:row>
    <x:row r="296" ht="23" customHeight="1">
      <x:c r="A296" t="str">
        <x:v>2011-11</x:v>
      </x:c>
      <x:c r="B296" t="n">
        <x:v>201111</x:v>
      </x:c>
      <x:c r="C296" t="str">
        <x:v>Switzerland</x:v>
      </x:c>
      <x:c r="D296" s="20" t="n">
        <x:v>8118.96</x:v>
      </x:c>
      <x:c r="E296" s="20" t="n">
        <x:v>2</x:v>
      </x:c>
      <x:c r="F296" s="20" t="n">
        <x:v>8116.96</x:v>
      </x:c>
      <x:c r="G296" t="n">
        <x:v>6</x:v>
      </x:c>
    </x:row>
    <x:row r="297" ht="23" customHeight="1">
      <x:c r="A297" t="str">
        <x:v>2011-11</x:v>
      </x:c>
      <x:c r="B297" t="n">
        <x:v>201111</x:v>
      </x:c>
      <x:c r="C297" t="str">
        <x:v>United Kingdom</x:v>
      </x:c>
      <x:c r="D297" s="20" t="n">
        <x:v>1319934.07</x:v>
      </x:c>
      <x:c r="E297" s="20" t="n">
        <x:v>42524.28</x:v>
      </x:c>
      <x:c r="F297" s="20" t="n">
        <x:v>1277409.79</x:v>
      </x:c>
      <x:c r="G297" t="n">
        <x:v>2490</x:v>
      </x:c>
    </x:row>
    <x:row r="298" ht="23" customHeight="1">
      <x:c r="A298" t="str">
        <x:v>2011-11</x:v>
      </x:c>
      <x:c r="B298" t="n">
        <x:v>201111</x:v>
      </x:c>
      <x:c r="C298" t="str">
        <x:v>Unspecified</x:v>
      </x:c>
      <x:c r="D298" s="20" t="n">
        <x:v>965.75</x:v>
      </x:c>
      <x:c r="E298" s="20" t="n">
        <x:v>0</x:v>
      </x:c>
      <x:c r="F298" s="20" t="n">
        <x:v>965.75</x:v>
      </x:c>
      <x:c r="G298" t="n">
        <x:v>2</x:v>
      </x:c>
    </x:row>
    <x:row r="299" ht="23" customHeight="1">
      <x:c r="A299" t="str">
        <x:v>2011-12</x:v>
      </x:c>
      <x:c r="B299" t="n">
        <x:v>201112</x:v>
      </x:c>
      <x:c r="C299" t="str">
        <x:v>Austria</x:v>
      </x:c>
      <x:c r="D299" s="20" t="n">
        <x:v>683.2</x:v>
      </x:c>
      <x:c r="E299" s="20" t="n">
        <x:v>0</x:v>
      </x:c>
      <x:c r="F299" s="20" t="n">
        <x:v>683.2</x:v>
      </x:c>
      <x:c r="G299" t="n">
        <x:v>1</x:v>
      </x:c>
    </x:row>
    <x:row r="300" ht="23" customHeight="1">
      <x:c r="A300" t="str">
        <x:v>2011-12</x:v>
      </x:c>
      <x:c r="B300" t="n">
        <x:v>201112</x:v>
      </x:c>
      <x:c r="C300" t="str">
        <x:v>Belgium</x:v>
      </x:c>
      <x:c r="D300" s="20" t="n">
        <x:v>1417.73</x:v>
      </x:c>
      <x:c r="E300" s="20" t="n">
        <x:v>8.3</x:v>
      </x:c>
      <x:c r="F300" s="20" t="n">
        <x:v>1409.43</x:v>
      </x:c>
      <x:c r="G300" t="n">
        <x:v>4</x:v>
      </x:c>
    </x:row>
    <x:row r="301" ht="23" customHeight="1">
      <x:c r="A301" t="str">
        <x:v>2011-12</x:v>
      </x:c>
      <x:c r="B301" t="n">
        <x:v>201112</x:v>
      </x:c>
      <x:c r="C301" t="str">
        <x:v>Channel Islands</x:v>
      </x:c>
      <x:c r="D301" s="20" t="n">
        <x:v>198.4</x:v>
      </x:c>
      <x:c r="E301" s="20" t="n">
        <x:v>4.25</x:v>
      </x:c>
      <x:c r="F301" s="20" t="n">
        <x:v>194.15</x:v>
      </x:c>
      <x:c r="G301" t="n">
        <x:v>1</x:v>
      </x:c>
    </x:row>
    <x:row r="302" ht="23" customHeight="1">
      <x:c r="A302" t="str">
        <x:v>2011-12</x:v>
      </x:c>
      <x:c r="B302" t="n">
        <x:v>201112</x:v>
      </x:c>
      <x:c r="C302" t="str">
        <x:v>Cyprus</x:v>
      </x:c>
      <x:c r="D302" s="20" t="n">
        <x:v>0</x:v>
      </x:c>
      <x:c r="E302" s="20" t="n">
        <x:v>91.25</x:v>
      </x:c>
      <x:c r="F302" s="20" t="n">
        <x:v>-91.25</x:v>
      </x:c>
      <x:c r="G302" t="n">
        <x:v>0</x:v>
      </x:c>
    </x:row>
    <x:row r="303" ht="23" customHeight="1">
      <x:c r="A303" t="str">
        <x:v>2011-12</x:v>
      </x:c>
      <x:c r="B303" t="n">
        <x:v>201112</x:v>
      </x:c>
      <x:c r="C303" t="str">
        <x:v>Denmark</x:v>
      </x:c>
      <x:c r="D303" s="20" t="n">
        <x:v>168.9</x:v>
      </x:c>
      <x:c r="E303" s="20" t="n">
        <x:v>0</x:v>
      </x:c>
      <x:c r="F303" s="20" t="n">
        <x:v>168.9</x:v>
      </x:c>
      <x:c r="G303" t="n">
        <x:v>1</x:v>
      </x:c>
    </x:row>
    <x:row r="304" ht="23" customHeight="1">
      <x:c r="A304" t="str">
        <x:v>2011-12</x:v>
      </x:c>
      <x:c r="B304" t="n">
        <x:v>201112</x:v>
      </x:c>
      <x:c r="C304" t="str">
        <x:v>EIRE</x:v>
      </x:c>
      <x:c r="D304" s="20" t="n">
        <x:v>7340.89</x:v>
      </x:c>
      <x:c r="E304" s="20" t="n">
        <x:v>17.85</x:v>
      </x:c>
      <x:c r="F304" s="20" t="n">
        <x:v>7323.04</x:v>
      </x:c>
      <x:c r="G304" t="n">
        <x:v>10</x:v>
      </x:c>
    </x:row>
    <x:row r="305" ht="23" customHeight="1">
      <x:c r="A305" t="str">
        <x:v>2011-12</x:v>
      </x:c>
      <x:c r="B305" t="n">
        <x:v>201112</x:v>
      </x:c>
      <x:c r="C305" t="str">
        <x:v>Finland</x:v>
      </x:c>
      <x:c r="D305" s="20" t="n">
        <x:v>1232.76</x:v>
      </x:c>
      <x:c r="E305" s="20" t="n">
        <x:v>2.08</x:v>
      </x:c>
      <x:c r="F305" s="20" t="n">
        <x:v>1230.68</x:v>
      </x:c>
      <x:c r="G305" t="n">
        <x:v>3</x:v>
      </x:c>
    </x:row>
    <x:row r="306" ht="23" customHeight="1">
      <x:c r="A306" t="str">
        <x:v>2011-12</x:v>
      </x:c>
      <x:c r="B306" t="n">
        <x:v>201112</x:v>
      </x:c>
      <x:c r="C306" t="str">
        <x:v>France</x:v>
      </x:c>
      <x:c r="D306" s="20" t="n">
        <x:v>7276.92</x:v>
      </x:c>
      <x:c r="E306" s="20" t="n">
        <x:v>228.09</x:v>
      </x:c>
      <x:c r="F306" s="20" t="n">
        <x:v>7048.83</x:v>
      </x:c>
      <x:c r="G306" t="n">
        <x:v>18</x:v>
      </x:c>
    </x:row>
    <x:row r="307" ht="23" customHeight="1">
      <x:c r="A307" t="str">
        <x:v>2011-12</x:v>
      </x:c>
      <x:c r="B307" t="n">
        <x:v>201112</x:v>
      </x:c>
      <x:c r="C307" t="str">
        <x:v>Germany</x:v>
      </x:c>
      <x:c r="D307" s="20" t="n">
        <x:v>7984.17</x:v>
      </x:c>
      <x:c r="E307" s="20" t="n">
        <x:v>179.47</x:v>
      </x:c>
      <x:c r="F307" s="20" t="n">
        <x:v>7804.7</x:v>
      </x:c>
      <x:c r="G307" t="n">
        <x:v>17</x:v>
      </x:c>
    </x:row>
    <x:row r="308" ht="23" customHeight="1">
      <x:c r="A308" t="str">
        <x:v>2011-12</x:v>
      </x:c>
      <x:c r="B308" t="n">
        <x:v>201112</x:v>
      </x:c>
      <x:c r="C308" t="str">
        <x:v>Greece</x:v>
      </x:c>
      <x:c r="D308" s="20" t="n">
        <x:v>680.99</x:v>
      </x:c>
      <x:c r="E308" s="20" t="n">
        <x:v>0</x:v>
      </x:c>
      <x:c r="F308" s="20" t="n">
        <x:v>680.99</x:v>
      </x:c>
      <x:c r="G308" t="n">
        <x:v>1</x:v>
      </x:c>
    </x:row>
    <x:row r="309" ht="23" customHeight="1">
      <x:c r="A309" t="str">
        <x:v>2011-12</x:v>
      </x:c>
      <x:c r="B309" t="n">
        <x:v>201112</x:v>
      </x:c>
      <x:c r="C309" t="str">
        <x:v>Iceland</x:v>
      </x:c>
      <x:c r="D309" s="20" t="n">
        <x:v>224.82</x:v>
      </x:c>
      <x:c r="E309" s="20" t="n">
        <x:v>0</x:v>
      </x:c>
      <x:c r="F309" s="20" t="n">
        <x:v>224.82</x:v>
      </x:c>
      <x:c r="G309" t="n">
        <x:v>1</x:v>
      </x:c>
    </x:row>
    <x:row r="310" ht="23" customHeight="1">
      <x:c r="A310" t="str">
        <x:v>2011-12</x:v>
      </x:c>
      <x:c r="B310" t="n">
        <x:v>201112</x:v>
      </x:c>
      <x:c r="C310" t="str">
        <x:v>Italy</x:v>
      </x:c>
      <x:c r="D310" s="20" t="n">
        <x:v>200.45</x:v>
      </x:c>
      <x:c r="E310" s="20" t="n">
        <x:v>0</x:v>
      </x:c>
      <x:c r="F310" s="20" t="n">
        <x:v>200.45</x:v>
      </x:c>
      <x:c r="G310" t="n">
        <x:v>1</x:v>
      </x:c>
    </x:row>
    <x:row r="311" ht="23" customHeight="1">
      <x:c r="A311" t="str">
        <x:v>2011-12</x:v>
      </x:c>
      <x:c r="B311" t="n">
        <x:v>201112</x:v>
      </x:c>
      <x:c r="C311" t="str">
        <x:v>Japan</x:v>
      </x:c>
      <x:c r="D311" s="20" t="n">
        <x:v>0</x:v>
      </x:c>
      <x:c r="E311" s="20" t="n">
        <x:v>116.93</x:v>
      </x:c>
      <x:c r="F311" s="20" t="n">
        <x:v>-116.93</x:v>
      </x:c>
      <x:c r="G311" t="n">
        <x:v>0</x:v>
      </x:c>
    </x:row>
    <x:row r="312" ht="23" customHeight="1">
      <x:c r="A312" t="str">
        <x:v>2011-12</x:v>
      </x:c>
      <x:c r="B312" t="n">
        <x:v>201112</x:v>
      </x:c>
      <x:c r="C312" t="str">
        <x:v>Malta</x:v>
      </x:c>
      <x:c r="D312" s="20" t="n">
        <x:v>0</x:v>
      </x:c>
      <x:c r="E312" s="20" t="n">
        <x:v>30.81</x:v>
      </x:c>
      <x:c r="F312" s="20" t="n">
        <x:v>-30.81</x:v>
      </x:c>
      <x:c r="G312" t="n">
        <x:v>0</x:v>
      </x:c>
    </x:row>
    <x:row r="313" ht="23" customHeight="1">
      <x:c r="A313" t="str">
        <x:v>2011-12</x:v>
      </x:c>
      <x:c r="B313" t="n">
        <x:v>201112</x:v>
      </x:c>
      <x:c r="C313" t="str">
        <x:v>Netherlands</x:v>
      </x:c>
      <x:c r="D313" s="20" t="n">
        <x:v>11728.02</x:v>
      </x:c>
      <x:c r="E313" s="20" t="n">
        <x:v>0</x:v>
      </x:c>
      <x:c r="F313" s="20" t="n">
        <x:v>11728.02</x:v>
      </x:c>
      <x:c r="G313" t="n">
        <x:v>3</x:v>
      </x:c>
    </x:row>
    <x:row r="314" ht="23" customHeight="1">
      <x:c r="A314" t="str">
        <x:v>2011-12</x:v>
      </x:c>
      <x:c r="B314" t="n">
        <x:v>201112</x:v>
      </x:c>
      <x:c r="C314" t="str">
        <x:v>Norway</x:v>
      </x:c>
      <x:c r="D314" s="20" t="n">
        <x:v>2785.7</x:v>
      </x:c>
      <x:c r="E314" s="20" t="n">
        <x:v>0</x:v>
      </x:c>
      <x:c r="F314" s="20" t="n">
        <x:v>2785.7</x:v>
      </x:c>
      <x:c r="G314" t="n">
        <x:v>3</x:v>
      </x:c>
    </x:row>
    <x:row r="315" ht="23" customHeight="1">
      <x:c r="A315" t="str">
        <x:v>2011-12</x:v>
      </x:c>
      <x:c r="B315" t="n">
        <x:v>201112</x:v>
      </x:c>
      <x:c r="C315" t="str">
        <x:v>Portugal</x:v>
      </x:c>
      <x:c r="D315" s="20" t="n">
        <x:v>2808.19</x:v>
      </x:c>
      <x:c r="E315" s="20" t="n">
        <x:v>6.24</x:v>
      </x:c>
      <x:c r="F315" s="20" t="n">
        <x:v>2801.95</x:v>
      </x:c>
      <x:c r="G315" t="n">
        <x:v>4</x:v>
      </x:c>
    </x:row>
    <x:row r="316" ht="23" customHeight="1">
      <x:c r="A316" t="str">
        <x:v>2011-12</x:v>
      </x:c>
      <x:c r="B316" t="n">
        <x:v>201112</x:v>
      </x:c>
      <x:c r="C316" t="str">
        <x:v>Spain</x:v>
      </x:c>
      <x:c r="D316" s="20" t="n">
        <x:v>316.21</x:v>
      </x:c>
      <x:c r="E316" s="20" t="n">
        <x:v>44.78</x:v>
      </x:c>
      <x:c r="F316" s="20" t="n">
        <x:v>271.43</x:v>
      </x:c>
      <x:c r="G316" t="n">
        <x:v>2</x:v>
      </x:c>
    </x:row>
    <x:row r="317" ht="23" customHeight="1">
      <x:c r="A317" t="str">
        <x:v>2011-12</x:v>
      </x:c>
      <x:c r="B317" t="n">
        <x:v>201112</x:v>
      </x:c>
      <x:c r="C317" t="str">
        <x:v>Sweden</x:v>
      </x:c>
      <x:c r="D317" s="20" t="n">
        <x:v>238</x:v>
      </x:c>
      <x:c r="E317" s="20" t="n">
        <x:v>238</x:v>
      </x:c>
      <x:c r="F317" s="20" t="n">
        <x:v>0</x:v>
      </x:c>
      <x:c r="G317" t="n">
        <x:v>1</x:v>
      </x:c>
    </x:row>
    <x:row r="318" ht="23" customHeight="1">
      <x:c r="A318" t="str">
        <x:v>2011-12</x:v>
      </x:c>
      <x:c r="B318" t="n">
        <x:v>201112</x:v>
      </x:c>
      <x:c r="C318" t="str">
        <x:v>USA</x:v>
      </x:c>
      <x:c r="D318" s="20" t="n">
        <x:v>885.24</x:v>
      </x:c>
      <x:c r="E318" s="20" t="n">
        <x:v>269.96</x:v>
      </x:c>
      <x:c r="F318" s="20" t="n">
        <x:v>615.28</x:v>
      </x:c>
      <x:c r="G318" t="n">
        <x:v>2</x:v>
      </x:c>
    </x:row>
    <x:row r="319" ht="23" customHeight="1">
      <x:c r="A319" t="str">
        <x:v>2011-12</x:v>
      </x:c>
      <x:c r="B319" t="n">
        <x:v>201112</x:v>
      </x:c>
      <x:c r="C319" t="str">
        <x:v>United Kingdom</x:v>
      </x:c>
      <x:c r="D319" s="20" t="n">
        <x:v>591619.74</x:v>
      </x:c>
      <x:c r="E319" s="20" t="n">
        <x:v>203851.26</x:v>
      </x:c>
      <x:c r="F319" s="20" t="n">
        <x:v>387768.48</x:v>
      </x:c>
      <x:c r="G319" t="n">
        <x:v>746</x:v>
      </x:c>
    </x:row>
  </x:sheetData>
  <x:pageMargins left="0.7" right="0.7" top="0.75" bottom="0.75" header="0.3" footer="0.3"/>
  <x:tableParts count="1">
    <x:tablePart xmlns:r="http://schemas.openxmlformats.org/officeDocument/2006/relationships" r:id="Rd24f1b52ca824e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4" customHeight="1">
      <x:c r="A2" s="15" t="str">
        <x:v>Country PivotTable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4" customHeight="1">
      <x:c r="A3" s="15" t="str">
        <x:v>Full source period; includes partial December 2011. Source: CountryMonthData.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4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 ht="24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</x:row>
    <x:row r="6" ht="32" customHeight="1">
      <x:c r="A6" s="18" t="str">
        <x:v>Country</x:v>
      </x:c>
      <x:c r="B6" s="18" t="str">
        <x:v>Sum of GrossGBP</x:v>
      </x:c>
      <x:c r="C6" s="18" t="str">
        <x:v>Sum of CancelledGBP</x:v>
      </x:c>
      <x:c r="D6" s="18" t="str">
        <x:v>Sum of NetGBP</x:v>
      </x:c>
      <x:c r="E6" s="15"/>
      <x:c r="F6" s="15"/>
      <x:c r="G6" s="15"/>
      <x:c r="H6" s="15"/>
      <x:c r="I6" s="15"/>
      <x:c r="J6" s="15"/>
      <x:c r="K6" s="15"/>
      <x:c r="L6" s="15"/>
    </x:row>
    <x:row r="7" ht="24" customHeight="1">
      <x:c r="A7" s="15" t="str">
        <x:v>Australia</x:v>
      </x:c>
      <x:c r="B7" s="19" t="n">
        <x:v>138453.81</x:v>
      </x:c>
      <x:c r="C7" s="19" t="n">
        <x:v>1444.04</x:v>
      </x:c>
      <x:c r="D7" s="19" t="n">
        <x:v>137009.77</x:v>
      </x:c>
      <x:c r="E7" s="15"/>
      <x:c r="F7" s="15"/>
      <x:c r="G7" s="15"/>
      <x:c r="H7" s="15"/>
      <x:c r="I7" s="15"/>
      <x:c r="J7" s="15"/>
      <x:c r="K7" s="15"/>
      <x:c r="L7" s="15"/>
    </x:row>
    <x:row r="8" ht="24" customHeight="1">
      <x:c r="A8" s="15" t="str">
        <x:v>Austria</x:v>
      </x:c>
      <x:c r="B8" s="19" t="n">
        <x:v>10198.68</x:v>
      </x:c>
      <x:c r="C8" s="19" t="n">
        <x:v>44.36</x:v>
      </x:c>
      <x:c r="D8" s="19" t="n">
        <x:v>10154.32</x:v>
      </x:c>
      <x:c r="E8" s="15"/>
      <x:c r="F8" s="15"/>
      <x:c r="G8" s="15"/>
      <x:c r="H8" s="15"/>
      <x:c r="I8" s="15"/>
      <x:c r="J8" s="15"/>
      <x:c r="K8" s="15"/>
      <x:c r="L8" s="15"/>
    </x:row>
    <x:row r="9" ht="24" customHeight="1">
      <x:c r="A9" s="15" t="str">
        <x:v>Bahrain</x:v>
      </x:c>
      <x:c r="B9" s="19" t="n">
        <x:v>754.14</x:v>
      </x:c>
      <x:c r="C9" s="19" t="n">
        <x:v>205.74</x:v>
      </x:c>
      <x:c r="D9" s="19" t="n">
        <x:v>548.4</x:v>
      </x:c>
      <x:c r="E9" s="15"/>
      <x:c r="F9" s="15"/>
      <x:c r="G9" s="15"/>
      <x:c r="H9" s="15"/>
      <x:c r="I9" s="15"/>
      <x:c r="J9" s="15"/>
      <x:c r="K9" s="15"/>
      <x:c r="L9" s="15"/>
    </x:row>
    <x:row r="10" ht="24" customHeight="1">
      <x:c r="A10" s="15" t="str">
        <x:v>Belgium</x:v>
      </x:c>
      <x:c r="B10" s="19" t="n">
        <x:v>41196.34</x:v>
      </x:c>
      <x:c r="C10" s="19" t="n">
        <x:v>285.38</x:v>
      </x:c>
      <x:c r="D10" s="19" t="n">
        <x:v>40910.96</x:v>
      </x:c>
      <x:c r="E10" s="15"/>
      <x:c r="F10" s="15"/>
      <x:c r="G10" s="15"/>
      <x:c r="H10" s="15"/>
      <x:c r="I10" s="15"/>
      <x:c r="J10" s="15"/>
      <x:c r="K10" s="15"/>
      <x:c r="L10" s="15"/>
    </x:row>
    <x:row r="11" ht="24" customHeight="1">
      <x:c r="A11" s="15" t="str">
        <x:v>Brazil</x:v>
      </x:c>
      <x:c r="B11" s="19" t="n">
        <x:v>1143.6</x:v>
      </x:c>
      <x:c r="C11" s="19" t="n">
        <x:v>0</x:v>
      </x:c>
      <x:c r="D11" s="19" t="n">
        <x:v>1143.6</x:v>
      </x:c>
      <x:c r="E11" s="15"/>
      <x:c r="F11" s="15"/>
      <x:c r="G11" s="15"/>
      <x:c r="H11" s="15"/>
      <x:c r="I11" s="15"/>
      <x:c r="J11" s="15"/>
      <x:c r="K11" s="15"/>
      <x:c r="L11" s="15"/>
    </x:row>
    <x:row r="12" ht="24" customHeight="1">
      <x:c r="A12" s="15" t="str">
        <x:v>Canada</x:v>
      </x:c>
      <x:c r="B12" s="19" t="n">
        <x:v>3666.38</x:v>
      </x:c>
      <x:c r="C12" s="19" t="n">
        <x:v>0</x:v>
      </x:c>
      <x:c r="D12" s="19" t="n">
        <x:v>3666.38</x:v>
      </x:c>
      <x:c r="E12" s="15"/>
      <x:c r="F12" s="15"/>
      <x:c r="G12" s="15"/>
      <x:c r="H12" s="15"/>
      <x:c r="I12" s="15"/>
      <x:c r="J12" s="15"/>
      <x:c r="K12" s="15"/>
      <x:c r="L12" s="15"/>
    </x:row>
    <x:row r="13" ht="24" customHeight="1">
      <x:c r="A13" s="15" t="str">
        <x:v>Channel Islands</x:v>
      </x:c>
      <x:c r="B13" s="19" t="n">
        <x:v>20440.54</x:v>
      </x:c>
      <x:c r="C13" s="19" t="n">
        <x:v>364.15</x:v>
      </x:c>
      <x:c r="D13" s="19" t="n">
        <x:v>20076.39</x:v>
      </x:c>
      <x:c r="E13" s="15"/>
      <x:c r="F13" s="15"/>
      <x:c r="G13" s="15"/>
      <x:c r="H13" s="15"/>
      <x:c r="I13" s="15"/>
      <x:c r="J13" s="15"/>
      <x:c r="K13" s="15"/>
      <x:c r="L13" s="15"/>
    </x:row>
    <x:row r="14" ht="24" customHeight="1">
      <x:c r="A14" s="15" t="str">
        <x:v>Cyprus</x:v>
      </x:c>
      <x:c r="B14" s="19" t="n">
        <x:v>13502.85</x:v>
      </x:c>
      <x:c r="C14" s="19" t="n">
        <x:v>644.09</x:v>
      </x:c>
      <x:c r="D14" s="19" t="n">
        <x:v>12858.76</x:v>
      </x:c>
      <x:c r="E14" s="15"/>
      <x:c r="F14" s="15"/>
      <x:c r="G14" s="15"/>
      <x:c r="H14" s="15"/>
      <x:c r="I14" s="15"/>
      <x:c r="J14" s="15"/>
      <x:c r="K14" s="15"/>
      <x:c r="L14" s="15"/>
    </x:row>
    <x:row r="15" ht="24" customHeight="1">
      <x:c r="A15" s="15" t="str">
        <x:v>Czech Republic</x:v>
      </x:c>
      <x:c r="B15" s="19" t="n">
        <x:v>826.74</x:v>
      </x:c>
      <x:c r="C15" s="19" t="n">
        <x:v>119.02</x:v>
      </x:c>
      <x:c r="D15" s="19" t="n">
        <x:v>707.72</x:v>
      </x:c>
      <x:c r="E15" s="15"/>
      <x:c r="F15" s="15"/>
      <x:c r="G15" s="15"/>
      <x:c r="H15" s="15"/>
      <x:c r="I15" s="15"/>
      <x:c r="J15" s="15"/>
      <x:c r="K15" s="15"/>
      <x:c r="L15" s="15"/>
    </x:row>
    <x:row r="16" ht="24" customHeight="1">
      <x:c r="A16" s="15" t="str">
        <x:v>Denmark</x:v>
      </x:c>
      <x:c r="B16" s="19" t="n">
        <x:v>18955.34</x:v>
      </x:c>
      <x:c r="C16" s="19" t="n">
        <x:v>187.2</x:v>
      </x:c>
      <x:c r="D16" s="19" t="n">
        <x:v>18768.14</x:v>
      </x:c>
      <x:c r="E16" s="15"/>
      <x:c r="F16" s="15"/>
      <x:c r="G16" s="15"/>
      <x:c r="H16" s="15"/>
      <x:c r="I16" s="15"/>
      <x:c r="J16" s="15"/>
      <x:c r="K16" s="15"/>
      <x:c r="L16" s="15"/>
    </x:row>
    <x:row r="17" ht="24" customHeight="1">
      <x:c r="A17" s="15" t="str">
        <x:v>EIRE</x:v>
      </x:c>
      <x:c r="B17" s="19" t="n">
        <x:v>283140.52</x:v>
      </x:c>
      <x:c r="C17" s="19" t="n">
        <x:v>20147.14</x:v>
      </x:c>
      <x:c r="D17" s="19" t="n">
        <x:v>262993.38</x:v>
      </x:c>
      <x:c r="E17" s="15"/>
      <x:c r="F17" s="15"/>
      <x:c r="G17" s="15"/>
      <x:c r="H17" s="15"/>
      <x:c r="I17" s="15"/>
      <x:c r="J17" s="15"/>
      <x:c r="K17" s="15"/>
      <x:c r="L17" s="15"/>
    </x:row>
    <x:row r="18" ht="24" customHeight="1">
      <x:c r="A18" s="15" t="str">
        <x:v>European Community</x:v>
      </x:c>
      <x:c r="B18" s="19" t="n">
        <x:v>1300.25</x:v>
      </x:c>
      <x:c r="C18" s="19" t="n">
        <x:v>8.5</x:v>
      </x:c>
      <x:c r="D18" s="19" t="n">
        <x:v>1291.75</x:v>
      </x:c>
      <x:c r="E18" s="15"/>
      <x:c r="F18" s="15"/>
      <x:c r="G18" s="15"/>
      <x:c r="H18" s="15"/>
      <x:c r="I18" s="15"/>
      <x:c r="J18" s="15"/>
      <x:c r="K18" s="15"/>
      <x:c r="L18" s="15"/>
    </x:row>
    <x:row r="19" ht="24" customHeight="1">
      <x:c r="A19" s="15" t="str">
        <x:v>Finland</x:v>
      </x:c>
      <x:c r="B19" s="19" t="n">
        <x:v>22546.08</x:v>
      </x:c>
      <x:c r="C19" s="19" t="n">
        <x:v>219.34</x:v>
      </x:c>
      <x:c r="D19" s="19" t="n">
        <x:v>22326.74</x:v>
      </x:c>
      <x:c r="E19" s="15"/>
      <x:c r="F19" s="15"/>
      <x:c r="G19" s="15"/>
      <x:c r="H19" s="15"/>
      <x:c r="I19" s="15"/>
      <x:c r="J19" s="15"/>
      <x:c r="K19" s="15"/>
      <x:c r="L19" s="15"/>
    </x:row>
    <x:row r="20" ht="24" customHeight="1">
      <x:c r="A20" s="15" t="str">
        <x:v>France</x:v>
      </x:c>
      <x:c r="B20" s="19" t="n">
        <x:v>209625.37</x:v>
      </x:c>
      <x:c r="C20" s="19" t="n">
        <x:v>12308.26</x:v>
      </x:c>
      <x:c r="D20" s="19" t="n">
        <x:v>197317.11</x:v>
      </x:c>
      <x:c r="E20" s="15"/>
      <x:c r="F20" s="15"/>
      <x:c r="G20" s="15"/>
      <x:c r="H20" s="15"/>
      <x:c r="I20" s="15"/>
      <x:c r="J20" s="15"/>
      <x:c r="K20" s="15"/>
      <x:c r="L20" s="15"/>
    </x:row>
    <x:row r="21" ht="24" customHeight="1">
      <x:c r="A21" s="15" t="str">
        <x:v>Germany</x:v>
      </x:c>
      <x:c r="B21" s="19" t="n">
        <x:v>228678.4</x:v>
      </x:c>
      <x:c r="C21" s="19" t="n">
        <x:v>7168.93</x:v>
      </x:c>
      <x:c r="D21" s="19" t="n">
        <x:v>221509.47</x:v>
      </x:c>
      <x:c r="E21" s="15"/>
      <x:c r="F21" s="15"/>
      <x:c r="G21" s="15"/>
      <x:c r="H21" s="15"/>
      <x:c r="I21" s="15"/>
      <x:c r="J21" s="15"/>
      <x:c r="K21" s="15"/>
      <x:c r="L21" s="15"/>
    </x:row>
    <x:row r="22" ht="24" customHeight="1">
      <x:c r="A22" s="15" t="str">
        <x:v>Greece</x:v>
      </x:c>
      <x:c r="B22" s="19" t="n">
        <x:v>4760.52</x:v>
      </x:c>
      <x:c r="C22" s="19" t="n">
        <x:v>50</x:v>
      </x:c>
      <x:c r="D22" s="19" t="n">
        <x:v>4710.52</x:v>
      </x:c>
      <x:c r="E22" s="15"/>
      <x:c r="F22" s="15"/>
      <x:c r="G22" s="15"/>
      <x:c r="H22" s="15"/>
      <x:c r="I22" s="15"/>
      <x:c r="J22" s="15"/>
      <x:c r="K22" s="15"/>
      <x:c r="L22" s="15"/>
    </x:row>
    <x:row r="23" ht="24" customHeight="1">
      <x:c r="A23" s="15" t="str">
        <x:v>Hong Kong</x:v>
      </x:c>
      <x:c r="B23" s="19" t="n">
        <x:v>15483</x:v>
      </x:c>
      <x:c r="C23" s="19" t="n">
        <x:v>5574.76</x:v>
      </x:c>
      <x:c r="D23" s="19" t="n">
        <x:v>9908.24</x:v>
      </x:c>
      <x:c r="E23" s="15"/>
      <x:c r="F23" s="15"/>
      <x:c r="G23" s="15"/>
      <x:c r="H23" s="15"/>
      <x:c r="I23" s="15"/>
      <x:c r="J23" s="15"/>
      <x:c r="K23" s="15"/>
      <x:c r="L23" s="15"/>
    </x:row>
    <x:row r="24" ht="24" customHeight="1">
      <x:c r="A24" s="15" t="str">
        <x:v>Iceland</x:v>
      </x:c>
      <x:c r="B24" s="19" t="n">
        <x:v>4310</x:v>
      </x:c>
      <x:c r="C24" s="19" t="n">
        <x:v>0</x:v>
      </x:c>
      <x:c r="D24" s="19" t="n">
        <x:v>4310</x:v>
      </x:c>
      <x:c r="E24" s="15"/>
      <x:c r="F24" s="15"/>
      <x:c r="G24" s="15"/>
      <x:c r="H24" s="15"/>
      <x:c r="I24" s="15"/>
      <x:c r="J24" s="15"/>
      <x:c r="K24" s="15"/>
      <x:c r="L24" s="15"/>
    </x:row>
    <x:row r="25" ht="24" customHeight="1">
      <x:c r="A25" s="15" t="str">
        <x:v>Israel</x:v>
      </x:c>
      <x:c r="B25" s="19" t="n">
        <x:v>8129.41</x:v>
      </x:c>
      <x:c r="C25" s="19" t="n">
        <x:v>227.44</x:v>
      </x:c>
      <x:c r="D25" s="19" t="n">
        <x:v>7901.97</x:v>
      </x:c>
      <x:c r="E25" s="15"/>
      <x:c r="F25" s="15"/>
      <x:c r="G25" s="15"/>
      <x:c r="H25" s="15"/>
      <x:c r="I25" s="15"/>
      <x:c r="J25" s="15"/>
      <x:c r="K25" s="15"/>
      <x:c r="L25" s="15"/>
    </x:row>
    <x:row r="26" ht="24" customHeight="1">
      <x:c r="A26" s="15" t="str">
        <x:v>Italy</x:v>
      </x:c>
      <x:c r="B26" s="19" t="n">
        <x:v>17483.24</x:v>
      </x:c>
      <x:c r="C26" s="19" t="n">
        <x:v>592.73</x:v>
      </x:c>
      <x:c r="D26" s="19" t="n">
        <x:v>16890.51</x:v>
      </x:c>
      <x:c r="E26" s="15"/>
      <x:c r="F26" s="15"/>
      <x:c r="G26" s="15"/>
      <x:c r="H26" s="15"/>
      <x:c r="I26" s="15"/>
      <x:c r="J26" s="15"/>
      <x:c r="K26" s="15"/>
      <x:c r="L26" s="15"/>
    </x:row>
    <x:row r="27" ht="24" customHeight="1">
      <x:c r="A27" s="15" t="str">
        <x:v>Japan</x:v>
      </x:c>
      <x:c r="B27" s="19" t="n">
        <x:v>37416.37</x:v>
      </x:c>
      <x:c r="C27" s="19" t="n">
        <x:v>2075.75</x:v>
      </x:c>
      <x:c r="D27" s="19" t="n">
        <x:v>35340.62</x:v>
      </x:c>
      <x:c r="E27" s="15"/>
      <x:c r="F27" s="15"/>
      <x:c r="G27" s="15"/>
      <x:c r="H27" s="15"/>
      <x:c r="I27" s="15"/>
      <x:c r="J27" s="15"/>
      <x:c r="K27" s="15"/>
      <x:c r="L27" s="15"/>
    </x:row>
    <x:row r="28" ht="24" customHeight="1">
      <x:c r="A28" s="15" t="str">
        <x:v>Lebanon</x:v>
      </x:c>
      <x:c r="B28" s="19" t="n">
        <x:v>1693.88</x:v>
      </x:c>
      <x:c r="C28" s="19" t="n">
        <x:v>0</x:v>
      </x:c>
      <x:c r="D28" s="19" t="n">
        <x:v>1693.88</x:v>
      </x:c>
      <x:c r="E28" s="15"/>
      <x:c r="F28" s="15"/>
      <x:c r="G28" s="15"/>
      <x:c r="H28" s="15"/>
      <x:c r="I28" s="15"/>
      <x:c r="J28" s="15"/>
      <x:c r="K28" s="15"/>
      <x:c r="L28" s="15"/>
    </x:row>
    <x:row r="29" ht="24" customHeight="1">
      <x:c r="A29" s="15" t="str">
        <x:v>Lithuania</x:v>
      </x:c>
      <x:c r="B29" s="19" t="n">
        <x:v>1661.06</x:v>
      </x:c>
      <x:c r="C29" s="19" t="n">
        <x:v>0</x:v>
      </x:c>
      <x:c r="D29" s="19" t="n">
        <x:v>1661.06</x:v>
      </x:c>
      <x:c r="E29" s="15"/>
      <x:c r="F29" s="15"/>
      <x:c r="G29" s="15"/>
      <x:c r="H29" s="15"/>
      <x:c r="I29" s="15"/>
      <x:c r="J29" s="15"/>
      <x:c r="K29" s="15"/>
      <x:c r="L29" s="15"/>
    </x:row>
    <x:row r="30" ht="24" customHeight="1">
      <x:c r="A30" s="15" t="str">
        <x:v>Malta</x:v>
      </x:c>
      <x:c r="B30" s="19" t="n">
        <x:v>2725.59</x:v>
      </x:c>
      <x:c r="C30" s="19" t="n">
        <x:v>220.12</x:v>
      </x:c>
      <x:c r="D30" s="19" t="n">
        <x:v>2505.47</x:v>
      </x:c>
      <x:c r="E30" s="15"/>
      <x:c r="F30" s="15"/>
      <x:c r="G30" s="15"/>
      <x:c r="H30" s="15"/>
      <x:c r="I30" s="15"/>
      <x:c r="J30" s="15"/>
      <x:c r="K30" s="15"/>
      <x:c r="L30" s="15"/>
    </x:row>
    <x:row r="31" ht="24" customHeight="1">
      <x:c r="A31" s="15" t="str">
        <x:v>Netherlands</x:v>
      </x:c>
      <x:c r="B31" s="19" t="n">
        <x:v>285446.34</x:v>
      </x:c>
      <x:c r="C31" s="19" t="n">
        <x:v>784.8</x:v>
      </x:c>
      <x:c r="D31" s="19" t="n">
        <x:v>284661.54</x:v>
      </x:c>
      <x:c r="E31" s="15"/>
      <x:c r="F31" s="15"/>
      <x:c r="G31" s="15"/>
      <x:c r="H31" s="15"/>
      <x:c r="I31" s="15"/>
      <x:c r="J31" s="15"/>
      <x:c r="K31" s="15"/>
      <x:c r="L31" s="15"/>
    </x:row>
    <x:row r="32" ht="24" customHeight="1">
      <x:c r="A32" s="15" t="str">
        <x:v>Norway</x:v>
      </x:c>
      <x:c r="B32" s="19" t="n">
        <x:v>36165.44</x:v>
      </x:c>
      <x:c r="C32" s="19" t="n">
        <x:v>1001.98</x:v>
      </x:c>
      <x:c r="D32" s="19" t="n">
        <x:v>35163.46</x:v>
      </x:c>
      <x:c r="E32" s="15"/>
      <x:c r="F32" s="15"/>
      <x:c r="G32" s="15"/>
      <x:c r="H32" s="15"/>
      <x:c r="I32" s="15"/>
      <x:c r="J32" s="15"/>
      <x:c r="K32" s="15"/>
      <x:c r="L32" s="15"/>
    </x:row>
    <x:row r="33" ht="24" customHeight="1">
      <x:c r="A33" s="15" t="str">
        <x:v>Poland</x:v>
      </x:c>
      <x:c r="B33" s="19" t="n">
        <x:v>7334.65</x:v>
      </x:c>
      <x:c r="C33" s="19" t="n">
        <x:v>121.51</x:v>
      </x:c>
      <x:c r="D33" s="19" t="n">
        <x:v>7213.14</x:v>
      </x:c>
      <x:c r="E33" s="15"/>
      <x:c r="F33" s="15"/>
      <x:c r="G33" s="15"/>
      <x:c r="H33" s="15"/>
      <x:c r="I33" s="15"/>
      <x:c r="J33" s="15"/>
      <x:c r="K33" s="15"/>
      <x:c r="L33" s="15"/>
    </x:row>
    <x:row r="34" ht="24" customHeight="1">
      <x:c r="A34" s="15" t="str">
        <x:v>Portugal</x:v>
      </x:c>
      <x:c r="B34" s="19" t="n">
        <x:v>33683.05</x:v>
      </x:c>
      <x:c r="C34" s="19" t="n">
        <x:v>4380.08</x:v>
      </x:c>
      <x:c r="D34" s="19" t="n">
        <x:v>29302.97</x:v>
      </x:c>
      <x:c r="E34" s="15"/>
      <x:c r="F34" s="15"/>
      <x:c r="G34" s="15"/>
      <x:c r="H34" s="15"/>
      <x:c r="I34" s="15"/>
      <x:c r="J34" s="15"/>
      <x:c r="K34" s="15"/>
      <x:c r="L34" s="15"/>
    </x:row>
    <x:row r="35" ht="24" customHeight="1">
      <x:c r="A35" s="15" t="str">
        <x:v>RSA</x:v>
      </x:c>
      <x:c r="B35" s="19" t="n">
        <x:v>1002.31</x:v>
      </x:c>
      <x:c r="C35" s="19" t="n">
        <x:v>0</x:v>
      </x:c>
      <x:c r="D35" s="19" t="n">
        <x:v>1002.31</x:v>
      </x:c>
      <x:c r="E35" s="15"/>
      <x:c r="F35" s="15"/>
      <x:c r="G35" s="15"/>
      <x:c r="H35" s="15"/>
      <x:c r="I35" s="15"/>
      <x:c r="J35" s="15"/>
      <x:c r="K35" s="15"/>
      <x:c r="L35" s="15"/>
    </x:row>
    <x:row r="36" ht="24" customHeight="1">
      <x:c r="A36" s="15" t="str">
        <x:v>Saudi Arabia</x:v>
      </x:c>
      <x:c r="B36" s="19" t="n">
        <x:v>145.92</x:v>
      </x:c>
      <x:c r="C36" s="19" t="n">
        <x:v>14.75</x:v>
      </x:c>
      <x:c r="D36" s="19" t="n">
        <x:v>131.17</x:v>
      </x:c>
      <x:c r="E36" s="15"/>
      <x:c r="F36" s="15"/>
      <x:c r="G36" s="15"/>
      <x:c r="H36" s="15"/>
      <x:c r="I36" s="15"/>
      <x:c r="J36" s="15"/>
      <x:c r="K36" s="15"/>
      <x:c r="L36" s="15"/>
    </x:row>
    <x:row r="37" ht="24" customHeight="1">
      <x:c r="A37" s="15" t="str">
        <x:v>Singapore</x:v>
      </x:c>
      <x:c r="B37" s="19" t="n">
        <x:v>21279.29</x:v>
      </x:c>
      <x:c r="C37" s="19" t="n">
        <x:v>12158.9</x:v>
      </x:c>
      <x:c r="D37" s="19" t="n">
        <x:v>9120.39</x:v>
      </x:c>
      <x:c r="E37" s="15"/>
      <x:c r="F37" s="15"/>
      <x:c r="G37" s="15"/>
      <x:c r="H37" s="15"/>
      <x:c r="I37" s="15"/>
      <x:c r="J37" s="15"/>
      <x:c r="K37" s="15"/>
      <x:c r="L37" s="15"/>
    </x:row>
    <x:row r="38" ht="24" customHeight="1">
      <x:c r="A38" s="15" t="str">
        <x:v>Spain</x:v>
      </x:c>
      <x:c r="B38" s="19" t="n">
        <x:v>61558.56</x:v>
      </x:c>
      <x:c r="C38" s="19" t="n">
        <x:v>6802.53</x:v>
      </x:c>
      <x:c r="D38" s="19" t="n">
        <x:v>54756.03</x:v>
      </x:c>
      <x:c r="E38" s="15"/>
      <x:c r="F38" s="15"/>
      <x:c r="G38" s="15"/>
      <x:c r="H38" s="15"/>
      <x:c r="I38" s="15"/>
      <x:c r="J38" s="15"/>
      <x:c r="K38" s="15"/>
      <x:c r="L38" s="15"/>
    </x:row>
    <x:row r="39" ht="24" customHeight="1">
      <x:c r="A39" s="15" t="str">
        <x:v>Sweden</x:v>
      </x:c>
      <x:c r="B39" s="19" t="n">
        <x:v>38367.83</x:v>
      </x:c>
      <x:c r="C39" s="19" t="n">
        <x:v>1782.42</x:v>
      </x:c>
      <x:c r="D39" s="19" t="n">
        <x:v>36585.41</x:v>
      </x:c>
      <x:c r="E39" s="15"/>
      <x:c r="F39" s="15"/>
      <x:c r="G39" s="15"/>
      <x:c r="H39" s="15"/>
      <x:c r="I39" s="15"/>
      <x:c r="J39" s="15"/>
      <x:c r="K39" s="15"/>
      <x:c r="L39" s="15"/>
    </x:row>
    <x:row r="40" ht="24" customHeight="1">
      <x:c r="A40" s="15" t="str">
        <x:v>Switzerland</x:v>
      </x:c>
      <x:c r="B40" s="19" t="n">
        <x:v>57067.6</x:v>
      </x:c>
      <x:c r="C40" s="19" t="n">
        <x:v>704.55</x:v>
      </x:c>
      <x:c r="D40" s="19" t="n">
        <x:v>56363.05</x:v>
      </x:c>
      <x:c r="E40" s="15"/>
      <x:c r="F40" s="15"/>
      <x:c r="G40" s="15"/>
      <x:c r="H40" s="15"/>
      <x:c r="I40" s="15"/>
      <x:c r="J40" s="15"/>
      <x:c r="K40" s="15"/>
      <x:c r="L40" s="15"/>
    </x:row>
    <x:row r="41" ht="24" customHeight="1">
      <x:c r="A41" s="15" t="str">
        <x:v>United Arab Emirates</x:v>
      </x:c>
      <x:c r="B41" s="19" t="n">
        <x:v>1902.28</x:v>
      </x:c>
      <x:c r="C41" s="19" t="n">
        <x:v>0</x:v>
      </x:c>
      <x:c r="D41" s="19" t="n">
        <x:v>1902.28</x:v>
      </x:c>
      <x:c r="E41" s="15"/>
      <x:c r="F41" s="15"/>
      <x:c r="G41" s="15"/>
      <x:c r="H41" s="15"/>
      <x:c r="I41" s="15"/>
      <x:c r="J41" s="15"/>
      <x:c r="K41" s="15"/>
      <x:c r="L41" s="15"/>
    </x:row>
    <x:row r="42" ht="24" customHeight="1">
      <x:c r="A42" s="15" t="str">
        <x:v>United Kingdom</x:v>
      </x:c>
      <x:c r="B42" s="19" t="n">
        <x:v>9001744.094</x:v>
      </x:c>
      <x:c r="C42" s="19" t="n">
        <x:v>812491.79</x:v>
      </x:c>
      <x:c r="D42" s="19" t="n">
        <x:v>8189252.304</x:v>
      </x:c>
      <x:c r="E42" s="15"/>
      <x:c r="F42" s="15"/>
      <x:c r="G42" s="15"/>
      <x:c r="H42" s="15"/>
      <x:c r="I42" s="15"/>
      <x:c r="J42" s="15"/>
      <x:c r="K42" s="15"/>
      <x:c r="L42" s="15"/>
    </x:row>
    <x:row r="43" ht="24" customHeight="1">
      <x:c r="A43" s="15" t="str">
        <x:v>Unspecified</x:v>
      </x:c>
      <x:c r="B43" s="19" t="n">
        <x:v>4740.94</x:v>
      </x:c>
      <x:c r="C43" s="19" t="n">
        <x:v>0</x:v>
      </x:c>
      <x:c r="D43" s="19" t="n">
        <x:v>4740.94</x:v>
      </x:c>
      <x:c r="E43" s="15"/>
      <x:c r="F43" s="15"/>
      <x:c r="G43" s="15"/>
      <x:c r="H43" s="15"/>
      <x:c r="I43" s="15"/>
      <x:c r="J43" s="15"/>
      <x:c r="K43" s="15"/>
      <x:c r="L43" s="15"/>
    </x:row>
    <x:row r="44" ht="24" customHeight="1">
      <x:c r="A44" s="15" t="str">
        <x:v>USA</x:v>
      </x:c>
      <x:c r="B44" s="19" t="n">
        <x:v>3580.39</x:v>
      </x:c>
      <x:c r="C44" s="19" t="n">
        <x:v>1849.47</x:v>
      </x:c>
      <x:c r="D44" s="19" t="n">
        <x:v>1730.92</x:v>
      </x:c>
      <x:c r="E44" s="15"/>
      <x:c r="F44" s="15"/>
      <x:c r="G44" s="15"/>
      <x:c r="H44" s="15"/>
      <x:c r="I44" s="15"/>
      <x:c r="J44" s="15"/>
      <x:c r="K44" s="15"/>
      <x:c r="L44" s="15"/>
    </x:row>
    <x:row r="45" ht="24" customHeight="1">
      <x:c r="A45" s="15" t="str">
        <x:v>Grand Total</x:v>
      </x:c>
      <x:c r="B45" s="19" t="n">
        <x:v>10642110.804</x:v>
      </x:c>
      <x:c r="C45" s="19" t="n">
        <x:v>893979.7300000001</x:v>
      </x:c>
      <x:c r="D45" s="19" t="n">
        <x:v>9748131.074000007</x:v>
      </x:c>
      <x:c r="E45" s="15"/>
      <x:c r="F45" s="15"/>
      <x:c r="G45" s="15"/>
      <x:c r="H45" s="15"/>
      <x:c r="I45" s="15"/>
      <x:c r="J45" s="15"/>
      <x:c r="K45" s="15"/>
      <x:c r="L45" s="15"/>
    </x:row>
  </x:sheetData>
  <x:pageMargins left="0.7" right="0.7" top="0.75" bottom="0.75" header="0.3" footer="0.3"/>
</x:worksheet>
</file>